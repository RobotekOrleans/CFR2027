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bm\Downloads\"/>
    </mc:Choice>
  </mc:AlternateContent>
  <xr:revisionPtr revIDLastSave="0" documentId="13_ncr:1_{BF6A7828-72CB-49E5-9746-205CC775F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EA Analysis" sheetId="1" r:id="rId1"/>
    <sheet name="Dashboard" sheetId="2" r:id="rId2"/>
  </sheets>
  <calcPr calcId="181029"/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<sst xmlns="http://schemas.openxmlformats.org/spreadsheetml/2006/main" count="85" uniqueCount="77">
  <si>
    <t>F</t>
  </si>
  <si>
    <t>D</t>
  </si>
  <si>
    <t>Budget</t>
  </si>
  <si>
    <t>Certification</t>
  </si>
  <si>
    <t>Non-compliance of the collision avoidance system</t>
  </si>
  <si>
    <t>Technical</t>
  </si>
  <si>
    <t>Finance &amp; Logistics</t>
  </si>
  <si>
    <t>Events &amp; HR</t>
  </si>
  <si>
    <t>Moving base</t>
  </si>
  <si>
    <t>Procurement</t>
  </si>
  <si>
    <t>Teams / Skills</t>
  </si>
  <si>
    <t>Powering</t>
  </si>
  <si>
    <t>S</t>
  </si>
  <si>
    <t>Actuators / Board</t>
  </si>
  <si>
    <t>Dimensions / Weight</t>
  </si>
  <si>
    <t>On-site scheduling</t>
  </si>
  <si>
    <t>Booth Management</t>
  </si>
  <si>
    <t>Transportation</t>
  </si>
  <si>
    <t>ROBOTICS FRENCH CUP 2027 — PROJECT FMEA ANALYSIS</t>
  </si>
  <si>
    <t>Rating scale (1 to 4): F = Frequency, S = Severity, D = Detectability, Criticality C = F × S × D (Max: 64)</t>
  </si>
  <si>
    <t>Category</t>
  </si>
  <si>
    <t>Item / Function</t>
  </si>
  <si>
    <t>Failure Mode</t>
  </si>
  <si>
    <t>Effect on Project / Match</t>
  </si>
  <si>
    <t>Possible Cause</t>
  </si>
  <si>
    <t>Criticality (C)</t>
  </si>
  <si>
    <t>Action / Prevention Plan</t>
  </si>
  <si>
    <t>Unable to take part in the qualifying rounds (disqualification)</t>
  </si>
  <si>
    <t>Poorly calibrated sensors, blind spot in the field of view</t>
  </si>
  <si>
    <t>Homologation tests in real conditions (beacons, opposing robots) 1 month before the event.</t>
  </si>
  <si>
    <t>Wheel slip or loss of odometry</t>
  </si>
  <si>
    <t>Trajectory drift, collision, zero points scored</t>
  </si>
  <si>
    <t>Dust on the table, tyre wear, faulty encoder</t>
  </si>
  <si>
    <t>Clean the wheels before every match, mechanical re-alignment against the borders.</t>
  </si>
  <si>
    <t>Late delivery of key components</t>
  </si>
  <si>
    <t>Critical delay to the testing and programming schedule</t>
  </si>
  <si>
    <t>Supplier stock-out, customs delays, global shortage</t>
  </si>
  <si>
    <t>Identify equivalent components (plan B) and place critical orders by late 2026.</t>
  </si>
  <si>
    <t>Departure or unavailability of a key member</t>
  </si>
  <si>
    <t>Loss of knowledge, major development delay</t>
  </si>
  <si>
    <t>Study/work load, illness, internal conflict</t>
  </si>
  <si>
    <t>Pair up people on each area (mech, elec, software) and make documentation on Git/Wiki mandatory.</t>
  </si>
  <si>
    <t>Short circuit or empty LiPo battery</t>
  </si>
  <si>
    <t>Robot immobile, fire risk, forfeit</t>
  </si>
  <si>
    <t>No BMS, unsuitable fuse, poor charge management</t>
  </si>
  <si>
    <t>Install a BMS and an accessible circuit breaker, and provide 3 checked battery sets.</t>
  </si>
  <si>
    <t>Burnt-out component (motor driver, microcontroller)</t>
  </si>
  <si>
    <t>Loss of a key function or complete robot shutdown</t>
  </si>
  <si>
    <t>Overcurrent, poor heat dissipation, electric shock</t>
  </si>
  <si>
    <t>Duplicate critical electronic boards and motors (spare parts).</t>
  </si>
  <si>
    <t>Budget overrun or sponsorship cancelled</t>
  </si>
  <si>
    <t>Unable to order key parts or travel</t>
  </si>
  <si>
    <t>Poor cost estimate, partner withdrawal</t>
  </si>
  <si>
    <t>15% safety margin in the initial budget + regular follow-ups with sponsors.</t>
  </si>
  <si>
    <t>Robot out of size limits at static inspection</t>
  </si>
  <si>
    <t>Rejected at static homologation</t>
  </si>
  <si>
    <t>Last-minute parts added without checking the starting area</t>
  </si>
  <si>
    <t>Systematic weighing and measuring in CAD and in reality after every modification.</t>
  </si>
  <si>
    <t>Robot breakage or damage in transit</t>
  </si>
  <si>
    <t>Robot damaged on arrival at the competition site</t>
  </si>
  <si>
    <t>Insufficient packaging, shock during transport</t>
  </si>
  <si>
    <t>Build a custom-made, cushioned flight case for transporting the robot and the stand.</t>
  </si>
  <si>
    <t>Late for a match call</t>
  </si>
  <si>
    <t>Forfeit of the round (0 points awarded)</t>
  </si>
  <si>
    <t>Poor time management in the booths, repairs taking too long</t>
  </si>
  <si>
    <t>Time the preparation procedures and appoint a dedicated team leader for scheduling.</t>
  </si>
  <si>
    <t>Loss of tools or forgetting critical equipment</t>
  </si>
  <si>
    <t>Wasted time, repairs impossible in the booths</t>
  </si>
  <si>
    <t>Disorganised booth, no departure checklist</t>
  </si>
  <si>
    <t>Draw up an inventory checklist before departure and appoint a booth manager.</t>
  </si>
  <si>
    <t>RISK SUMMARY AND STATISTICS</t>
  </si>
  <si>
    <t>Indicator</t>
  </si>
  <si>
    <t>Value</t>
  </si>
  <si>
    <t>Total number of risks identified</t>
  </si>
  <si>
    <t>Critical risks (C ≥ 20)</t>
  </si>
  <si>
    <t>Moderate risks (12 ≤ C &lt; 20)</t>
  </si>
  <si>
    <t>Low risks (C &lt;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</si>
</sst>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color rgb="FF900C3F"/>
      <name val="Calibri"/>
    </font>
    <font>
      <b/>
      <sz val="11"/>
      <color rgb="FF7D6608"/>
      <name val="Calibri"/>
    </font>
    <font>
      <b/>
      <sz val="11"/>
      <color rgb="FF1E8449"/>
      <name val="Calibri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44062"/>
        <bgColor rgb="FF244062"/>
      </patternFill>
    </fill>
    <fill>
      <patternFill patternType="solid">
        <fgColor rgb="FFFADBD8"/>
        <bgColor rgb="FFFADBD8"/>
      </patternFill>
    </fill>
    <fill>
      <patternFill patternType="solid">
        <fgColor rgb="FFFCF3CF"/>
        <bgColor rgb="FFFCF3CF"/>
      </patternFill>
    </fill>
    <fill>
      <patternFill patternType="solid">
        <fgColor rgb="FFD4EFDF"/>
        <bgColor rgb="FFD4EFD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44062"/>
        <bgColor rgb="FF1F497D"/>
      </patternFill>
    </fill>
    <fill>
      <patternFill patternType="solid">
        <fgColor rgb="FF244062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3" borderId="1" xfId="0" applyFont="1" applyFill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11" borderId="0" xfId="0" applyFill="1"/>
    <xf numFmtId="0" fontId="12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440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BBA6A8-D6AE-4B7F-8584-1A582CC3CC0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6225f52-87df-4644-b186-c9954119fa8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sqref="A1:I1"/>
    </sheetView>
  </sheetViews>
  <sheetFormatPr baseColWidth="10" defaultColWidth="8.88671875" defaultRowHeight="14.4" x14ac:dyDescent="0.3"/>
  <cols>
    <col min="1" max="2" width="22.109375" customWidth="1"/>
    <col min="3" max="3" width="30" customWidth="1"/>
    <col min="4" max="5" width="32" customWidth="1"/>
    <col min="6" max="8" width="6" customWidth="1"/>
    <col min="9" max="9" width="14" customWidth="1"/>
    <col min="10" max="10" width="40" customWidth="1"/>
  </cols>
  <sheetData>
    <row r="1" spans="1:10" ht="39.9" customHeight="1" x14ac:dyDescent="0.3">
      <c r="A1" s="19" t="s">
        <v>18</v>
      </c>
      <c r="B1" s="18"/>
      <c r="C1" s="18"/>
      <c r="D1" s="18"/>
      <c r="E1" s="18"/>
      <c r="F1" s="18"/>
      <c r="G1" s="18"/>
      <c r="H1" s="18"/>
      <c r="I1" s="18"/>
    </row>
    <row r="2" spans="1:10" ht="20.100000000000001" customHeight="1" x14ac:dyDescent="0.3">
      <c r="A2" s="16" t="s">
        <v>19</v>
      </c>
      <c r="B2" s="10"/>
      <c r="C2" s="10"/>
      <c r="D2" s="10"/>
      <c r="E2" s="10"/>
      <c r="F2" s="10"/>
      <c r="G2" s="10"/>
      <c r="H2" s="10"/>
      <c r="I2" s="10"/>
    </row>
    <row r="4" spans="1:10" ht="27.9" customHeight="1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0</v>
      </c>
      <c r="G4" s="17" t="s">
        <v>12</v>
      </c>
      <c r="H4" s="1" t="s">
        <v>1</v>
      </c>
      <c r="I4" s="1" t="s">
        <v>25</v>
      </c>
      <c r="J4" s="1" t="s">
        <v>26</v>
      </c>
    </row>
    <row r="5" spans="1:10" ht="42" customHeight="1" x14ac:dyDescent="0.3">
      <c r="A5" s="8" t="s">
        <v>5</v>
      </c>
      <c r="B5" s="13" t="s">
        <v>3</v>
      </c>
      <c r="C5" s="13" t="s">
        <v>4</v>
      </c>
      <c r="D5" s="13" t="s">
        <v>27</v>
      </c>
      <c r="E5" s="13" t="s">
        <v>28</v>
      </c>
      <c r="F5" s="14">
        <v>3</v>
      </c>
      <c r="G5" s="14">
        <v>4</v>
      </c>
      <c r="H5" s="14">
        <v>4</v>
      </c>
      <c r="I5" s="2">
        <f t="shared" ref="I5:I15" si="0">F5*G5*H5</f>
        <v>48</v>
      </c>
      <c r="J5" s="13" t="s">
        <v>29</v>
      </c>
    </row>
    <row r="6" spans="1:10" ht="32.1" customHeight="1" x14ac:dyDescent="0.3">
      <c r="A6" s="8" t="s">
        <v>5</v>
      </c>
      <c r="B6" s="15" t="s">
        <v>8</v>
      </c>
      <c r="C6" s="13" t="s">
        <v>30</v>
      </c>
      <c r="D6" s="13" t="s">
        <v>31</v>
      </c>
      <c r="E6" s="13" t="s">
        <v>32</v>
      </c>
      <c r="F6" s="14">
        <v>3</v>
      </c>
      <c r="G6" s="14">
        <v>3</v>
      </c>
      <c r="H6" s="14">
        <v>2</v>
      </c>
      <c r="I6" s="3">
        <f t="shared" si="0"/>
        <v>18</v>
      </c>
      <c r="J6" s="13" t="s">
        <v>33</v>
      </c>
    </row>
    <row r="7" spans="1:10" ht="32.1" customHeight="1" x14ac:dyDescent="0.3">
      <c r="A7" s="9" t="s">
        <v>6</v>
      </c>
      <c r="B7" s="15" t="s">
        <v>9</v>
      </c>
      <c r="C7" s="13" t="s">
        <v>34</v>
      </c>
      <c r="D7" s="13" t="s">
        <v>35</v>
      </c>
      <c r="E7" s="13" t="s">
        <v>36</v>
      </c>
      <c r="F7" s="14">
        <v>2</v>
      </c>
      <c r="G7" s="14">
        <v>2</v>
      </c>
      <c r="H7" s="14">
        <v>4</v>
      </c>
      <c r="I7" s="3">
        <f t="shared" si="0"/>
        <v>16</v>
      </c>
      <c r="J7" s="13" t="s">
        <v>37</v>
      </c>
    </row>
    <row r="8" spans="1:10" ht="32.1" customHeight="1" x14ac:dyDescent="0.3">
      <c r="A8" s="12" t="s">
        <v>7</v>
      </c>
      <c r="B8" s="15" t="s">
        <v>10</v>
      </c>
      <c r="C8" s="13" t="s">
        <v>38</v>
      </c>
      <c r="D8" s="13" t="s">
        <v>39</v>
      </c>
      <c r="E8" s="13" t="s">
        <v>40</v>
      </c>
      <c r="F8" s="14">
        <v>2</v>
      </c>
      <c r="G8" s="14">
        <v>3</v>
      </c>
      <c r="H8" s="14">
        <v>2</v>
      </c>
      <c r="I8" s="3">
        <f t="shared" si="0"/>
        <v>12</v>
      </c>
      <c r="J8" s="13" t="s">
        <v>41</v>
      </c>
    </row>
    <row r="9" spans="1:10" ht="32.1" customHeight="1" x14ac:dyDescent="0.3">
      <c r="A9" s="8" t="s">
        <v>5</v>
      </c>
      <c r="B9" s="15" t="s">
        <v>11</v>
      </c>
      <c r="C9" s="13" t="s">
        <v>42</v>
      </c>
      <c r="D9" s="13" t="s">
        <v>43</v>
      </c>
      <c r="E9" s="13" t="s">
        <v>44</v>
      </c>
      <c r="F9" s="14">
        <v>2</v>
      </c>
      <c r="G9" s="14">
        <v>4</v>
      </c>
      <c r="H9" s="14">
        <v>2</v>
      </c>
      <c r="I9" s="3">
        <f t="shared" si="0"/>
        <v>16</v>
      </c>
      <c r="J9" s="13" t="s">
        <v>45</v>
      </c>
    </row>
    <row r="10" spans="1:10" ht="32.1" customHeight="1" x14ac:dyDescent="0.3">
      <c r="A10" s="8" t="s">
        <v>5</v>
      </c>
      <c r="B10" s="15" t="s">
        <v>13</v>
      </c>
      <c r="C10" s="13" t="s">
        <v>46</v>
      </c>
      <c r="D10" s="13" t="s">
        <v>47</v>
      </c>
      <c r="E10" s="13" t="s">
        <v>48</v>
      </c>
      <c r="F10" s="14">
        <v>2</v>
      </c>
      <c r="G10" s="14">
        <v>3</v>
      </c>
      <c r="H10" s="14">
        <v>2</v>
      </c>
      <c r="I10" s="3">
        <f t="shared" si="0"/>
        <v>12</v>
      </c>
      <c r="J10" s="13" t="s">
        <v>49</v>
      </c>
    </row>
    <row r="11" spans="1:10" ht="32.1" customHeight="1" x14ac:dyDescent="0.3">
      <c r="A11" s="9" t="s">
        <v>6</v>
      </c>
      <c r="B11" s="15" t="s">
        <v>2</v>
      </c>
      <c r="C11" s="13" t="s">
        <v>50</v>
      </c>
      <c r="D11" s="13" t="s">
        <v>51</v>
      </c>
      <c r="E11" s="13" t="s">
        <v>52</v>
      </c>
      <c r="F11" s="14">
        <v>2</v>
      </c>
      <c r="G11" s="14">
        <v>3</v>
      </c>
      <c r="H11" s="14">
        <v>2</v>
      </c>
      <c r="I11" s="3">
        <f t="shared" si="0"/>
        <v>12</v>
      </c>
      <c r="J11" s="13" t="s">
        <v>53</v>
      </c>
    </row>
    <row r="12" spans="1:10" ht="32.1" customHeight="1" x14ac:dyDescent="0.3">
      <c r="A12" s="8" t="s">
        <v>5</v>
      </c>
      <c r="B12" s="15" t="s">
        <v>14</v>
      </c>
      <c r="C12" s="13" t="s">
        <v>54</v>
      </c>
      <c r="D12" s="13" t="s">
        <v>55</v>
      </c>
      <c r="E12" s="13" t="s">
        <v>56</v>
      </c>
      <c r="F12" s="14">
        <v>2</v>
      </c>
      <c r="G12" s="14">
        <v>4</v>
      </c>
      <c r="H12" s="14">
        <v>1</v>
      </c>
      <c r="I12" s="4">
        <f t="shared" si="0"/>
        <v>8</v>
      </c>
      <c r="J12" s="13" t="s">
        <v>57</v>
      </c>
    </row>
    <row r="13" spans="1:10" ht="32.1" customHeight="1" x14ac:dyDescent="0.3">
      <c r="A13" s="9" t="s">
        <v>6</v>
      </c>
      <c r="B13" s="15" t="s">
        <v>17</v>
      </c>
      <c r="C13" s="13" t="s">
        <v>58</v>
      </c>
      <c r="D13" s="13" t="s">
        <v>59</v>
      </c>
      <c r="E13" s="13" t="s">
        <v>60</v>
      </c>
      <c r="F13" s="14">
        <v>2</v>
      </c>
      <c r="G13" s="14">
        <v>3</v>
      </c>
      <c r="H13" s="14">
        <v>1</v>
      </c>
      <c r="I13" s="4">
        <f t="shared" si="0"/>
        <v>6</v>
      </c>
      <c r="J13" s="13" t="s">
        <v>61</v>
      </c>
    </row>
    <row r="14" spans="1:10" ht="32.1" customHeight="1" x14ac:dyDescent="0.3">
      <c r="A14" s="12" t="s">
        <v>7</v>
      </c>
      <c r="B14" s="15" t="s">
        <v>15</v>
      </c>
      <c r="C14" s="13" t="s">
        <v>62</v>
      </c>
      <c r="D14" s="13" t="s">
        <v>63</v>
      </c>
      <c r="E14" s="13" t="s">
        <v>64</v>
      </c>
      <c r="F14" s="14">
        <v>1</v>
      </c>
      <c r="G14" s="14">
        <v>4</v>
      </c>
      <c r="H14" s="14">
        <v>1</v>
      </c>
      <c r="I14" s="4">
        <f t="shared" si="0"/>
        <v>4</v>
      </c>
      <c r="J14" s="13" t="s">
        <v>65</v>
      </c>
    </row>
    <row r="15" spans="1:10" ht="32.1" customHeight="1" x14ac:dyDescent="0.3">
      <c r="A15" s="12" t="s">
        <v>7</v>
      </c>
      <c r="B15" s="15" t="s">
        <v>16</v>
      </c>
      <c r="C15" s="13" t="s">
        <v>66</v>
      </c>
      <c r="D15" s="13" t="s">
        <v>67</v>
      </c>
      <c r="E15" s="15" t="s">
        <v>68</v>
      </c>
      <c r="F15" s="14">
        <v>2</v>
      </c>
      <c r="G15" s="14">
        <v>2</v>
      </c>
      <c r="H15" s="14">
        <v>1</v>
      </c>
      <c r="I15" s="4">
        <f t="shared" si="0"/>
        <v>4</v>
      </c>
      <c r="J15" s="13" t="s">
        <v>69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12" sqref="A12"/>
    </sheetView>
  </sheetViews>
  <sheetFormatPr baseColWidth="10" defaultColWidth="8.88671875" defaultRowHeight="14.4" x14ac:dyDescent="0.3"/>
  <cols>
    <col min="1" max="1" width="35" customWidth="1"/>
    <col min="2" max="2" width="14.88671875" customWidth="1"/>
  </cols>
  <sheetData>
    <row r="1" spans="1:6" ht="35.1" customHeight="1" x14ac:dyDescent="0.3">
      <c r="A1" s="11" t="s">
        <v>70</v>
      </c>
      <c r="B1" s="10"/>
      <c r="C1" s="10"/>
      <c r="D1" s="10"/>
      <c r="E1" s="10"/>
      <c r="F1" s="10"/>
    </row>
    <row r="3" spans="1:6" x14ac:dyDescent="0.3">
      <c r="A3" s="5" t="s">
        <v>71</v>
      </c>
      <c r="B3" s="5" t="s">
        <v>72</v>
      </c>
    </row>
    <row r="4" spans="1:6" x14ac:dyDescent="0.3">
      <c r="A4" s="6" t="s">
        <v>73</v>
      </c>
      <c r="B4" s="7">
        <v>11</v>
      </c>
    </row>
    <row r="5" spans="1:6" x14ac:dyDescent="0.3">
      <c r="A5" s="6" t="s">
        <v>74</v>
      </c>
      <c r="B5" s="7">
        <v>1</v>
      </c>
    </row>
    <row r="6" spans="1:6" x14ac:dyDescent="0.3">
      <c r="A6" s="6" t="s">
        <v>75</v>
      </c>
      <c r="B6" s="7">
        <v>6</v>
      </c>
    </row>
    <row r="7" spans="1:6" x14ac:dyDescent="0.3">
      <c r="A7" s="6" t="s">
        <v>76</v>
      </c>
      <c r="B7" s="7">
        <v>4</v>
      </c>
    </row>
    <row r="8" spans="1:6" x14ac:dyDescent="0.3">
      <c r="A8" s="6"/>
      <c r="B8" s="6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FMEA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Thibaut Martin</cp:lastModifiedBy>
  <dcterms:created xsi:type="dcterms:W3CDTF">2026-09-27T14:22:09Z</dcterms:created>
  <dcterms:modified xsi:type="dcterms:W3CDTF">2026-09-30T14:09:44Z</dcterms:modified>
</cp:coreProperties>
</file>