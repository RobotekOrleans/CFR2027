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aël Borges\Documents\GitHub\CFR2027\Project management\Planned budget\"/>
    </mc:Choice>
  </mc:AlternateContent>
  <xr:revisionPtr revIDLastSave="0" documentId="13_ncr:1_{77050AB2-E0F7-4473-9E7B-4E6ACA1BFF3C}" xr6:coauthVersionLast="47" xr6:coauthVersionMax="47" xr10:uidLastSave="{00000000-0000-0000-0000-000000000000}"/>
  <bookViews>
    <workbookView xWindow="19095" yWindow="0" windowWidth="19410" windowHeight="20985" xr2:uid="{E91C89F1-E138-4472-B4E6-ECFF0EF2A362}"/>
  </bookViews>
  <sheets>
    <sheet name="Feuil1" sheetId="1" r:id="rId1"/>
  </sheets>
  <externalReferences>
    <externalReference r:id="rId2"/>
  </externalReferences>
  <definedNames>
    <definedName name="_xlnm._FilterDatabase" localSheetId="0" hidden="1">Feuil1!$B$2:$L$32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6" i="1" l="1"/>
  <c r="F27" i="1"/>
  <c r="F28" i="1"/>
  <c r="F25" i="1"/>
  <c r="E28" i="1"/>
  <c r="E27" i="1"/>
  <c r="J27" i="1" s="1"/>
  <c r="E26" i="1"/>
  <c r="J26" i="1" s="1"/>
  <c r="E25" i="1"/>
  <c r="J25" i="1" s="1"/>
  <c r="L24" i="1"/>
  <c r="F24" i="1"/>
  <c r="E24" i="1"/>
  <c r="L23" i="1"/>
  <c r="E23" i="1"/>
  <c r="J23" i="1" s="1"/>
  <c r="L22" i="1"/>
  <c r="E22" i="1"/>
  <c r="J22" i="1" s="1"/>
  <c r="L21" i="1"/>
  <c r="E21" i="1"/>
  <c r="J21" i="1" s="1"/>
  <c r="L20" i="1"/>
  <c r="E20" i="1"/>
  <c r="J20" i="1" s="1"/>
  <c r="G19" i="1"/>
  <c r="L19" i="1" s="1"/>
  <c r="F19" i="1"/>
  <c r="E19" i="1"/>
  <c r="J19" i="1" s="1"/>
  <c r="K18" i="1"/>
  <c r="L18" i="1" s="1"/>
  <c r="F18" i="1"/>
  <c r="E18" i="1"/>
  <c r="J18" i="1" s="1"/>
  <c r="H17" i="1"/>
  <c r="E17" i="1" s="1"/>
  <c r="J17" i="1" s="1"/>
  <c r="G17" i="1"/>
  <c r="L17" i="1" s="1"/>
  <c r="F17" i="1"/>
  <c r="L16" i="1"/>
  <c r="F16" i="1"/>
  <c r="E16" i="1"/>
  <c r="J16" i="1" s="1"/>
  <c r="L15" i="1"/>
  <c r="E15" i="1"/>
  <c r="J15" i="1" s="1"/>
  <c r="L14" i="1"/>
  <c r="E14" i="1"/>
  <c r="J14" i="1" s="1"/>
  <c r="L13" i="1"/>
  <c r="E13" i="1"/>
  <c r="J13" i="1" s="1"/>
  <c r="L12" i="1"/>
  <c r="E12" i="1"/>
  <c r="J12" i="1" s="1"/>
  <c r="L11" i="1"/>
  <c r="E11" i="1"/>
  <c r="J11" i="1" s="1"/>
  <c r="G10" i="1"/>
  <c r="L10" i="1" s="1"/>
  <c r="F10" i="1"/>
  <c r="E10" i="1"/>
  <c r="L9" i="1"/>
  <c r="F9" i="1"/>
  <c r="E9" i="1"/>
  <c r="J9" i="1" s="1"/>
  <c r="K8" i="1"/>
  <c r="L8" i="1" s="1"/>
  <c r="H8" i="1"/>
  <c r="G8" i="1"/>
  <c r="F8" i="1"/>
  <c r="E8" i="1"/>
  <c r="J8" i="1" s="1"/>
  <c r="K7" i="1"/>
  <c r="G7" i="1"/>
  <c r="E7" i="1" s="1"/>
  <c r="J7" i="1" s="1"/>
  <c r="F7" i="1"/>
  <c r="G6" i="1"/>
  <c r="E6" i="1" s="1"/>
  <c r="J6" i="1" s="1"/>
  <c r="J30" i="1" s="1"/>
  <c r="F6" i="1"/>
  <c r="K6" i="1" s="1"/>
  <c r="L6" i="1" s="1"/>
  <c r="L30" i="1" s="1"/>
  <c r="L5" i="1"/>
  <c r="E5" i="1"/>
  <c r="J5" i="1" s="1"/>
  <c r="G4" i="1"/>
  <c r="F4" i="1"/>
  <c r="G3" i="1"/>
  <c r="F3" i="1"/>
  <c r="J24" i="1" l="1"/>
  <c r="J10" i="1"/>
  <c r="L7" i="1"/>
  <c r="J28" i="1"/>
  <c r="J32" i="1" s="1"/>
  <c r="E4" i="1"/>
  <c r="J4" i="1" s="1"/>
  <c r="L4" i="1"/>
  <c r="L3" i="1"/>
  <c r="E3" i="1"/>
  <c r="J3" i="1" s="1"/>
  <c r="L29" i="1" l="1"/>
  <c r="L31" i="1"/>
  <c r="J31" i="1"/>
  <c r="J29" i="1"/>
</calcChain>
</file>

<file path=xl/sharedStrings.xml><?xml version="1.0" encoding="utf-8"?>
<sst xmlns="http://schemas.openxmlformats.org/spreadsheetml/2006/main" count="119" uniqueCount="69">
  <si>
    <t>PLA</t>
  </si>
  <si>
    <t>PCB</t>
  </si>
  <si>
    <t>Robotek</t>
  </si>
  <si>
    <t>Polytech</t>
  </si>
  <si>
    <t>Maxime Fabre</t>
  </si>
  <si>
    <t>Ryan Guedoir</t>
  </si>
  <si>
    <t>Thibaut Martin</t>
  </si>
  <si>
    <t>Mickael Borges</t>
  </si>
  <si>
    <t>M6</t>
  </si>
  <si>
    <t>Total (€)</t>
  </si>
  <si>
    <t>HC-SR04</t>
  </si>
  <si>
    <t>L298N</t>
  </si>
  <si>
    <t>FIT0520</t>
  </si>
  <si>
    <t>MG996R</t>
  </si>
  <si>
    <t>ESP32-WROOM</t>
  </si>
  <si>
    <t>—</t>
  </si>
  <si>
    <t>TOTAL Robotek</t>
  </si>
  <si>
    <t>TOTAL Polytech</t>
  </si>
  <si>
    <t>Camera</t>
  </si>
  <si>
    <t>Category</t>
  </si>
  <si>
    <t>Component type</t>
  </si>
  <si>
    <t>Component name</t>
  </si>
  <si>
    <t>Unit price (€)</t>
  </si>
  <si>
    <t>Qty needed</t>
  </si>
  <si>
    <t>Purchase price (€) – per lot</t>
  </si>
  <si>
    <t>Purchase qty (per lot)</t>
  </si>
  <si>
    <t>Purchased by</t>
  </si>
  <si>
    <t>No. of lots to buy</t>
  </si>
  <si>
    <t>Actual purchase cost (€)</t>
  </si>
  <si>
    <t>Sensor</t>
  </si>
  <si>
    <t>Ultrasonic</t>
  </si>
  <si>
    <t>Sensor PCB</t>
  </si>
  <si>
    <t>Actuator</t>
  </si>
  <si>
    <t>Pump</t>
  </si>
  <si>
    <t>Suction cup</t>
  </si>
  <si>
    <t>Silicone suction cup</t>
  </si>
  <si>
    <t>Tubing</t>
  </si>
  <si>
    <t>Suction cup tubing</t>
  </si>
  <si>
    <t>Main board</t>
  </si>
  <si>
    <t>Raspberry Pi 4B (4 GB)</t>
  </si>
  <si>
    <t>Servo motor</t>
  </si>
  <si>
    <t>Actuator PCB</t>
  </si>
  <si>
    <t>Chassis (mechanical)</t>
  </si>
  <si>
    <t>Board</t>
  </si>
  <si>
    <t>Plywood / MDF</t>
  </si>
  <si>
    <t>Threaded rod</t>
  </si>
  <si>
    <t>Nut</t>
  </si>
  <si>
    <t>Lock nut</t>
  </si>
  <si>
    <t>Chassis (drive)</t>
  </si>
  <si>
    <t>H-bridge</t>
  </si>
  <si>
    <t>Wheel</t>
  </si>
  <si>
    <t>Omnidirectional wheel</t>
  </si>
  <si>
    <t>Motor</t>
  </si>
  <si>
    <t>Secondary board</t>
  </si>
  <si>
    <t>Consumable</t>
  </si>
  <si>
    <t>PLA filament (g)</t>
  </si>
  <si>
    <t>Electricity</t>
  </si>
  <si>
    <t>3D printing (Wh)</t>
  </si>
  <si>
    <t>Tin</t>
  </si>
  <si>
    <t>Solder (g)</t>
  </si>
  <si>
    <t>Fasteners</t>
  </si>
  <si>
    <t>Assortment (pieces)</t>
  </si>
  <si>
    <t>Other</t>
  </si>
  <si>
    <t>Battery</t>
  </si>
  <si>
    <t>LiPo 3S 11.1 V 4200 mAh</t>
  </si>
  <si>
    <t>Human</t>
  </si>
  <si>
    <t>Team member</t>
  </si>
  <si>
    <t>TOTAL (purchases + labor)</t>
  </si>
  <si>
    <t>Labor (team, at French minimum wage / SMIC)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</si>
</sst>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70" formatCode="#,##0.00\ [$€-40C]"/>
    <numFmt numFmtId="171" formatCode="#,##0.##"/>
    <numFmt numFmtId="172" formatCode="#,##0.00###\ [$€-40C]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8F4FB"/>
        <bgColor rgb="FFCCFFFF"/>
      </patternFill>
    </fill>
    <fill>
      <patternFill patternType="solid">
        <fgColor rgb="FFD0D0D0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83CAEB"/>
        <bgColor rgb="FF8FAAD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44" fontId="0" fillId="0" borderId="0" xfId="1" applyFont="1"/>
    <xf numFmtId="0" fontId="3" fillId="2" borderId="0" xfId="0" applyFont="1" applyFill="1" applyAlignment="1">
      <alignment vertical="center"/>
    </xf>
    <xf numFmtId="170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170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70" fontId="3" fillId="3" borderId="0" xfId="0" applyNumberFormat="1" applyFont="1" applyFill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70" fontId="3" fillId="0" borderId="0" xfId="0" applyNumberFormat="1" applyFont="1" applyAlignment="1">
      <alignment vertical="center"/>
    </xf>
    <xf numFmtId="171" fontId="3" fillId="4" borderId="0" xfId="0" applyNumberFormat="1" applyFont="1" applyFill="1" applyAlignment="1">
      <alignment vertical="center"/>
    </xf>
    <xf numFmtId="172" fontId="3" fillId="3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170" fontId="6" fillId="0" borderId="0" xfId="0" applyNumberFormat="1" applyFont="1" applyAlignment="1">
      <alignment vertical="center"/>
    </xf>
    <xf numFmtId="171" fontId="6" fillId="0" borderId="0" xfId="0" applyNumberFormat="1" applyFont="1" applyAlignment="1">
      <alignment vertical="center"/>
    </xf>
    <xf numFmtId="170" fontId="5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4" fillId="5" borderId="0" xfId="0" applyFont="1" applyFill="1" applyAlignment="1">
      <alignment horizontal="center" vertical="center" wrapText="1"/>
    </xf>
  </cellXfs>
  <cellStyles count="3">
    <cellStyle name="Hyperlink" xfId="2" xr:uid="{771F967E-C868-4F4F-A298-1CE94A72A144}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D&#233;penses%20(1).xlsx" TargetMode="External"/><Relationship Id="rId2" Type="http://schemas.openxmlformats.org/officeDocument/2006/relationships/externalLinkPath" Target="file:///C:\Users\Micka&#235;l%20Borges\Downloads\D&#233;penses%20(1).xlsx" TargetMode="External"/><Relationship Id="rId1" Type="http://schemas.openxmlformats.org/officeDocument/2006/relationships/externalLinkPath" Target="/Users/Micka&#235;l%20Borges/Downloads/D&#233;pense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épenses"/>
      <sheetName val="Général"/>
      <sheetName val="Polytech"/>
      <sheetName val="Robotek"/>
      <sheetName val="Moteur"/>
      <sheetName val="Pompe"/>
      <sheetName val="Feuil1"/>
    </sheetNames>
    <sheetDataSet>
      <sheetData sheetId="0">
        <row r="34">
          <cell r="D34">
            <v>12.31</v>
          </cell>
        </row>
      </sheetData>
      <sheetData sheetId="1">
        <row r="4">
          <cell r="D4">
            <v>1</v>
          </cell>
        </row>
        <row r="5">
          <cell r="C5">
            <v>0</v>
          </cell>
          <cell r="D5">
            <v>1</v>
          </cell>
        </row>
        <row r="6">
          <cell r="C6">
            <v>8.2899999999999991</v>
          </cell>
          <cell r="D6">
            <v>5</v>
          </cell>
        </row>
        <row r="8">
          <cell r="D8">
            <v>4</v>
          </cell>
        </row>
        <row r="9">
          <cell r="C9">
            <v>0</v>
          </cell>
          <cell r="D9">
            <v>1</v>
          </cell>
        </row>
        <row r="10">
          <cell r="C10">
            <v>0</v>
          </cell>
          <cell r="D10">
            <v>4</v>
          </cell>
        </row>
        <row r="11">
          <cell r="C11">
            <v>0</v>
          </cell>
          <cell r="D11">
            <v>2</v>
          </cell>
        </row>
        <row r="12">
          <cell r="D12">
            <v>1</v>
          </cell>
        </row>
      </sheetData>
      <sheetData sheetId="2"/>
      <sheetData sheetId="3">
        <row r="3">
          <cell r="H3">
            <v>4</v>
          </cell>
          <cell r="I3">
            <v>4</v>
          </cell>
        </row>
        <row r="4">
          <cell r="E4">
            <v>4</v>
          </cell>
          <cell r="G4">
            <v>16.989999999999998</v>
          </cell>
          <cell r="H4">
            <v>4</v>
          </cell>
        </row>
        <row r="5">
          <cell r="G5">
            <v>8.49</v>
          </cell>
          <cell r="H5">
            <v>4</v>
          </cell>
          <cell r="I5">
            <v>4</v>
          </cell>
        </row>
        <row r="6">
          <cell r="E6">
            <v>1</v>
          </cell>
          <cell r="G6">
            <v>2.46</v>
          </cell>
          <cell r="H6">
            <v>1</v>
          </cell>
          <cell r="I6">
            <v>1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366A-384E-4F12-BF5A-479D0D7B6EE4}">
  <sheetPr filterMode="1"/>
  <dimension ref="B2:L33"/>
  <sheetViews>
    <sheetView tabSelected="1" topLeftCell="B1" workbookViewId="0">
      <selection activeCell="J7" sqref="J7"/>
    </sheetView>
  </sheetViews>
  <sheetFormatPr baseColWidth="10" defaultRowHeight="15" x14ac:dyDescent="0.25"/>
  <cols>
    <col min="2" max="2" width="22" bestFit="1" customWidth="1"/>
    <col min="4" max="4" width="31.140625" bestFit="1" customWidth="1"/>
    <col min="5" max="5" width="13" style="1" bestFit="1" customWidth="1"/>
    <col min="6" max="6" width="18.7109375" bestFit="1" customWidth="1"/>
    <col min="7" max="7" width="12.7109375" style="1" bestFit="1" customWidth="1"/>
    <col min="8" max="8" width="15.5703125" bestFit="1" customWidth="1"/>
    <col min="10" max="10" width="11.42578125" style="1"/>
  </cols>
  <sheetData>
    <row r="2" spans="2:12" ht="45" x14ac:dyDescent="0.25">
      <c r="B2" s="21" t="s">
        <v>19</v>
      </c>
      <c r="C2" s="21" t="s">
        <v>20</v>
      </c>
      <c r="D2" s="21" t="s">
        <v>21</v>
      </c>
      <c r="E2" s="21" t="s">
        <v>22</v>
      </c>
      <c r="F2" s="21" t="s">
        <v>23</v>
      </c>
      <c r="G2" s="21" t="s">
        <v>24</v>
      </c>
      <c r="H2" s="21" t="s">
        <v>25</v>
      </c>
      <c r="I2" s="21" t="s">
        <v>26</v>
      </c>
      <c r="J2" s="21" t="s">
        <v>9</v>
      </c>
      <c r="K2" s="21" t="s">
        <v>27</v>
      </c>
      <c r="L2" s="21" t="s">
        <v>28</v>
      </c>
    </row>
    <row r="3" spans="2:12" x14ac:dyDescent="0.25">
      <c r="B3" s="14" t="s">
        <v>29</v>
      </c>
      <c r="C3" s="14" t="s">
        <v>18</v>
      </c>
      <c r="D3" s="14" t="s">
        <v>18</v>
      </c>
      <c r="E3" s="13">
        <f t="shared" ref="E3:E24" si="0">IFERROR(G3/H3,0)</f>
        <v>0</v>
      </c>
      <c r="F3" s="19">
        <f>[1]Général!D9</f>
        <v>1</v>
      </c>
      <c r="G3" s="18">
        <f>[1]Général!C9</f>
        <v>0</v>
      </c>
      <c r="H3" s="15">
        <v>1</v>
      </c>
      <c r="I3" s="10" t="s">
        <v>2</v>
      </c>
      <c r="J3" s="8">
        <f t="shared" ref="J3:J28" si="1">E3*F3</f>
        <v>0</v>
      </c>
      <c r="K3" s="15">
        <v>0</v>
      </c>
      <c r="L3" s="8">
        <f t="shared" ref="L3:L24" si="2">K3*G3</f>
        <v>0</v>
      </c>
    </row>
    <row r="4" spans="2:12" x14ac:dyDescent="0.25">
      <c r="B4" s="14" t="s">
        <v>29</v>
      </c>
      <c r="C4" s="14" t="s">
        <v>30</v>
      </c>
      <c r="D4" s="14" t="s">
        <v>10</v>
      </c>
      <c r="E4" s="13">
        <f t="shared" si="0"/>
        <v>0</v>
      </c>
      <c r="F4" s="19">
        <f>[1]Général!D10</f>
        <v>4</v>
      </c>
      <c r="G4" s="18">
        <f>[1]Général!C10</f>
        <v>0</v>
      </c>
      <c r="H4" s="15">
        <v>1</v>
      </c>
      <c r="I4" s="10" t="s">
        <v>2</v>
      </c>
      <c r="J4" s="8">
        <f t="shared" si="1"/>
        <v>0</v>
      </c>
      <c r="K4" s="15">
        <v>0</v>
      </c>
      <c r="L4" s="8">
        <f t="shared" si="2"/>
        <v>0</v>
      </c>
    </row>
    <row r="5" spans="2:12" x14ac:dyDescent="0.25">
      <c r="B5" s="14" t="s">
        <v>29</v>
      </c>
      <c r="C5" s="14" t="s">
        <v>1</v>
      </c>
      <c r="D5" s="14" t="s">
        <v>31</v>
      </c>
      <c r="E5" s="13">
        <f t="shared" si="0"/>
        <v>2.4</v>
      </c>
      <c r="F5" s="19">
        <v>5</v>
      </c>
      <c r="G5" s="18">
        <v>12</v>
      </c>
      <c r="H5" s="15">
        <v>5</v>
      </c>
      <c r="I5" s="10" t="s">
        <v>2</v>
      </c>
      <c r="J5" s="8">
        <f t="shared" si="1"/>
        <v>12</v>
      </c>
      <c r="K5" s="15">
        <v>1</v>
      </c>
      <c r="L5" s="8">
        <f t="shared" si="2"/>
        <v>12</v>
      </c>
    </row>
    <row r="6" spans="2:12" hidden="1" x14ac:dyDescent="0.25">
      <c r="B6" s="14" t="s">
        <v>32</v>
      </c>
      <c r="C6" s="14" t="s">
        <v>33</v>
      </c>
      <c r="D6" s="14" t="s">
        <v>33</v>
      </c>
      <c r="E6" s="13">
        <f t="shared" si="0"/>
        <v>8.2899999999999991</v>
      </c>
      <c r="F6" s="17">
        <f>[1]Général!D6</f>
        <v>5</v>
      </c>
      <c r="G6" s="16">
        <f>[1]Général!C6</f>
        <v>8.2899999999999991</v>
      </c>
      <c r="H6" s="20">
        <v>1</v>
      </c>
      <c r="I6" s="10" t="s">
        <v>3</v>
      </c>
      <c r="J6" s="8">
        <f t="shared" si="1"/>
        <v>41.449999999999996</v>
      </c>
      <c r="K6" s="15">
        <f>ROUNDUP(F6/H6,0)</f>
        <v>5</v>
      </c>
      <c r="L6" s="8">
        <f t="shared" si="2"/>
        <v>41.449999999999996</v>
      </c>
    </row>
    <row r="7" spans="2:12" x14ac:dyDescent="0.25">
      <c r="B7" s="14" t="s">
        <v>32</v>
      </c>
      <c r="C7" s="14" t="s">
        <v>34</v>
      </c>
      <c r="D7" s="14" t="s">
        <v>35</v>
      </c>
      <c r="E7" s="13">
        <f t="shared" si="0"/>
        <v>2.1225000000000001</v>
      </c>
      <c r="F7" s="19">
        <f>[1]Robotek!H5</f>
        <v>4</v>
      </c>
      <c r="G7" s="18">
        <f>[1]Robotek!G5</f>
        <v>8.49</v>
      </c>
      <c r="H7" s="15">
        <v>4</v>
      </c>
      <c r="I7" s="10" t="s">
        <v>2</v>
      </c>
      <c r="J7" s="8">
        <f t="shared" si="1"/>
        <v>8.49</v>
      </c>
      <c r="K7" s="15">
        <f>[1]Robotek!I5</f>
        <v>4</v>
      </c>
      <c r="L7" s="8">
        <f t="shared" si="2"/>
        <v>33.96</v>
      </c>
    </row>
    <row r="8" spans="2:12" x14ac:dyDescent="0.25">
      <c r="B8" s="14" t="s">
        <v>32</v>
      </c>
      <c r="C8" s="14" t="s">
        <v>36</v>
      </c>
      <c r="D8" s="14" t="s">
        <v>37</v>
      </c>
      <c r="E8" s="13">
        <f t="shared" si="0"/>
        <v>2.46</v>
      </c>
      <c r="F8" s="19">
        <f>[1]Robotek!H6</f>
        <v>1</v>
      </c>
      <c r="G8" s="18">
        <f>[1]Robotek!G6</f>
        <v>2.46</v>
      </c>
      <c r="H8" s="15">
        <f>[1]Robotek!E6</f>
        <v>1</v>
      </c>
      <c r="I8" s="10" t="s">
        <v>2</v>
      </c>
      <c r="J8" s="8">
        <f t="shared" si="1"/>
        <v>2.46</v>
      </c>
      <c r="K8" s="15">
        <f>[1]Robotek!I6</f>
        <v>1</v>
      </c>
      <c r="L8" s="8">
        <f t="shared" si="2"/>
        <v>2.46</v>
      </c>
    </row>
    <row r="9" spans="2:12" x14ac:dyDescent="0.25">
      <c r="B9" s="14" t="s">
        <v>32</v>
      </c>
      <c r="C9" s="14" t="s">
        <v>38</v>
      </c>
      <c r="D9" s="14" t="s">
        <v>39</v>
      </c>
      <c r="E9" s="13">
        <f t="shared" si="0"/>
        <v>90</v>
      </c>
      <c r="F9" s="19">
        <f>[1]Général!D4</f>
        <v>1</v>
      </c>
      <c r="G9" s="18">
        <v>90</v>
      </c>
      <c r="H9" s="15">
        <v>1</v>
      </c>
      <c r="I9" s="10" t="s">
        <v>2</v>
      </c>
      <c r="J9" s="8">
        <f t="shared" si="1"/>
        <v>90</v>
      </c>
      <c r="K9" s="15">
        <v>0</v>
      </c>
      <c r="L9" s="8">
        <f t="shared" si="2"/>
        <v>0</v>
      </c>
    </row>
    <row r="10" spans="2:12" x14ac:dyDescent="0.25">
      <c r="B10" s="14" t="s">
        <v>32</v>
      </c>
      <c r="C10" s="14" t="s">
        <v>40</v>
      </c>
      <c r="D10" s="14" t="s">
        <v>13</v>
      </c>
      <c r="E10" s="13">
        <f t="shared" si="0"/>
        <v>0</v>
      </c>
      <c r="F10" s="19">
        <f>[1]Général!D11</f>
        <v>2</v>
      </c>
      <c r="G10" s="18">
        <f>[1]Général!C11</f>
        <v>0</v>
      </c>
      <c r="H10" s="15">
        <v>1</v>
      </c>
      <c r="I10" s="10" t="s">
        <v>2</v>
      </c>
      <c r="J10" s="8">
        <f t="shared" si="1"/>
        <v>0</v>
      </c>
      <c r="K10" s="15">
        <v>0</v>
      </c>
      <c r="L10" s="8">
        <f t="shared" si="2"/>
        <v>0</v>
      </c>
    </row>
    <row r="11" spans="2:12" x14ac:dyDescent="0.25">
      <c r="B11" s="14" t="s">
        <v>32</v>
      </c>
      <c r="C11" s="14" t="s">
        <v>1</v>
      </c>
      <c r="D11" s="14" t="s">
        <v>41</v>
      </c>
      <c r="E11" s="13">
        <f t="shared" si="0"/>
        <v>2.4</v>
      </c>
      <c r="F11" s="19">
        <v>2</v>
      </c>
      <c r="G11" s="18">
        <v>12</v>
      </c>
      <c r="H11" s="15">
        <v>5</v>
      </c>
      <c r="I11" s="10" t="s">
        <v>2</v>
      </c>
      <c r="J11" s="8">
        <f t="shared" si="1"/>
        <v>4.8</v>
      </c>
      <c r="K11" s="15">
        <v>1</v>
      </c>
      <c r="L11" s="8">
        <f t="shared" si="2"/>
        <v>12</v>
      </c>
    </row>
    <row r="12" spans="2:12" x14ac:dyDescent="0.25">
      <c r="B12" s="14" t="s">
        <v>42</v>
      </c>
      <c r="C12" s="14" t="s">
        <v>43</v>
      </c>
      <c r="D12" s="14" t="s">
        <v>44</v>
      </c>
      <c r="E12" s="13">
        <f t="shared" si="0"/>
        <v>8</v>
      </c>
      <c r="F12" s="19">
        <v>1</v>
      </c>
      <c r="G12" s="18">
        <v>8</v>
      </c>
      <c r="H12" s="15">
        <v>1</v>
      </c>
      <c r="I12" s="10" t="s">
        <v>2</v>
      </c>
      <c r="J12" s="8">
        <f t="shared" si="1"/>
        <v>8</v>
      </c>
      <c r="K12" s="15">
        <v>0</v>
      </c>
      <c r="L12" s="8">
        <f t="shared" si="2"/>
        <v>0</v>
      </c>
    </row>
    <row r="13" spans="2:12" x14ac:dyDescent="0.25">
      <c r="B13" s="14" t="s">
        <v>42</v>
      </c>
      <c r="C13" s="14" t="s">
        <v>45</v>
      </c>
      <c r="D13" s="14" t="s">
        <v>8</v>
      </c>
      <c r="E13" s="13">
        <f t="shared" si="0"/>
        <v>3</v>
      </c>
      <c r="F13" s="19">
        <v>4</v>
      </c>
      <c r="G13" s="18">
        <v>3</v>
      </c>
      <c r="H13" s="15">
        <v>1</v>
      </c>
      <c r="I13" s="10" t="s">
        <v>2</v>
      </c>
      <c r="J13" s="8">
        <f t="shared" si="1"/>
        <v>12</v>
      </c>
      <c r="K13" s="15">
        <v>0</v>
      </c>
      <c r="L13" s="8">
        <f t="shared" si="2"/>
        <v>0</v>
      </c>
    </row>
    <row r="14" spans="2:12" x14ac:dyDescent="0.25">
      <c r="B14" s="14" t="s">
        <v>42</v>
      </c>
      <c r="C14" s="14" t="s">
        <v>46</v>
      </c>
      <c r="D14" s="14" t="s">
        <v>8</v>
      </c>
      <c r="E14" s="13">
        <f t="shared" si="0"/>
        <v>0.08</v>
      </c>
      <c r="F14" s="19">
        <v>4</v>
      </c>
      <c r="G14" s="18">
        <v>4</v>
      </c>
      <c r="H14" s="15">
        <v>50</v>
      </c>
      <c r="I14" s="10" t="s">
        <v>2</v>
      </c>
      <c r="J14" s="8">
        <f t="shared" si="1"/>
        <v>0.32</v>
      </c>
      <c r="K14" s="15">
        <v>0</v>
      </c>
      <c r="L14" s="8">
        <f t="shared" si="2"/>
        <v>0</v>
      </c>
    </row>
    <row r="15" spans="2:12" x14ac:dyDescent="0.25">
      <c r="B15" s="14" t="s">
        <v>42</v>
      </c>
      <c r="C15" s="14" t="s">
        <v>47</v>
      </c>
      <c r="D15" s="14" t="s">
        <v>8</v>
      </c>
      <c r="E15" s="13">
        <f t="shared" si="0"/>
        <v>0.2</v>
      </c>
      <c r="F15" s="19">
        <v>8</v>
      </c>
      <c r="G15" s="18">
        <v>5</v>
      </c>
      <c r="H15" s="15">
        <v>25</v>
      </c>
      <c r="I15" s="10" t="s">
        <v>2</v>
      </c>
      <c r="J15" s="8">
        <f t="shared" si="1"/>
        <v>1.6</v>
      </c>
      <c r="K15" s="15">
        <v>1</v>
      </c>
      <c r="L15" s="8">
        <f t="shared" si="2"/>
        <v>5</v>
      </c>
    </row>
    <row r="16" spans="2:12" x14ac:dyDescent="0.25">
      <c r="B16" s="14" t="s">
        <v>48</v>
      </c>
      <c r="C16" s="14" t="s">
        <v>49</v>
      </c>
      <c r="D16" s="14" t="s">
        <v>11</v>
      </c>
      <c r="E16" s="13">
        <f t="shared" si="0"/>
        <v>3.198</v>
      </c>
      <c r="F16" s="19">
        <f>[1]Général!D8</f>
        <v>4</v>
      </c>
      <c r="G16" s="18">
        <v>15.99</v>
      </c>
      <c r="H16" s="15">
        <v>5</v>
      </c>
      <c r="I16" s="10" t="s">
        <v>2</v>
      </c>
      <c r="J16" s="8">
        <f t="shared" si="1"/>
        <v>12.792</v>
      </c>
      <c r="K16" s="15">
        <v>0</v>
      </c>
      <c r="L16" s="8">
        <f t="shared" si="2"/>
        <v>0</v>
      </c>
    </row>
    <row r="17" spans="2:12" x14ac:dyDescent="0.25">
      <c r="B17" s="14" t="s">
        <v>48</v>
      </c>
      <c r="C17" s="14" t="s">
        <v>50</v>
      </c>
      <c r="D17" s="14" t="s">
        <v>51</v>
      </c>
      <c r="E17" s="13">
        <f t="shared" si="0"/>
        <v>4.2474999999999996</v>
      </c>
      <c r="F17" s="19">
        <f>[1]Robotek!H4</f>
        <v>4</v>
      </c>
      <c r="G17" s="18">
        <f>[1]Robotek!G4</f>
        <v>16.989999999999998</v>
      </c>
      <c r="H17" s="15">
        <f>[1]Robotek!E4</f>
        <v>4</v>
      </c>
      <c r="I17" s="10" t="s">
        <v>2</v>
      </c>
      <c r="J17" s="8">
        <f t="shared" si="1"/>
        <v>16.989999999999998</v>
      </c>
      <c r="K17" s="15">
        <v>1</v>
      </c>
      <c r="L17" s="8">
        <f t="shared" si="2"/>
        <v>16.989999999999998</v>
      </c>
    </row>
    <row r="18" spans="2:12" hidden="1" x14ac:dyDescent="0.25">
      <c r="B18" s="14" t="s">
        <v>48</v>
      </c>
      <c r="C18" s="14" t="s">
        <v>52</v>
      </c>
      <c r="D18" s="14" t="s">
        <v>12</v>
      </c>
      <c r="E18" s="13">
        <f t="shared" si="0"/>
        <v>21.5</v>
      </c>
      <c r="F18" s="17">
        <f>[1]Robotek!H3</f>
        <v>4</v>
      </c>
      <c r="G18" s="16">
        <v>21.5</v>
      </c>
      <c r="H18" s="20">
        <v>1</v>
      </c>
      <c r="I18" s="10" t="s">
        <v>3</v>
      </c>
      <c r="J18" s="8">
        <f t="shared" si="1"/>
        <v>86</v>
      </c>
      <c r="K18" s="15">
        <f>[1]Robotek!I3</f>
        <v>4</v>
      </c>
      <c r="L18" s="8">
        <f t="shared" si="2"/>
        <v>86</v>
      </c>
    </row>
    <row r="19" spans="2:12" x14ac:dyDescent="0.25">
      <c r="B19" s="14" t="s">
        <v>48</v>
      </c>
      <c r="C19" s="14" t="s">
        <v>53</v>
      </c>
      <c r="D19" s="14" t="s">
        <v>14</v>
      </c>
      <c r="E19" s="13">
        <f t="shared" si="0"/>
        <v>0</v>
      </c>
      <c r="F19" s="19">
        <f>[1]Général!D5</f>
        <v>1</v>
      </c>
      <c r="G19" s="18">
        <f>[1]Général!C5</f>
        <v>0</v>
      </c>
      <c r="H19" s="15">
        <v>1</v>
      </c>
      <c r="I19" s="10" t="s">
        <v>2</v>
      </c>
      <c r="J19" s="8">
        <f t="shared" si="1"/>
        <v>0</v>
      </c>
      <c r="K19" s="15">
        <v>0</v>
      </c>
      <c r="L19" s="8">
        <f t="shared" si="2"/>
        <v>0</v>
      </c>
    </row>
    <row r="20" spans="2:12" x14ac:dyDescent="0.25">
      <c r="B20" s="14" t="s">
        <v>54</v>
      </c>
      <c r="C20" s="14" t="s">
        <v>0</v>
      </c>
      <c r="D20" s="14" t="s">
        <v>55</v>
      </c>
      <c r="E20" s="13">
        <f t="shared" si="0"/>
        <v>0.02</v>
      </c>
      <c r="F20" s="19">
        <v>2000</v>
      </c>
      <c r="G20" s="18">
        <v>20</v>
      </c>
      <c r="H20" s="15">
        <v>1000</v>
      </c>
      <c r="I20" s="10" t="s">
        <v>2</v>
      </c>
      <c r="J20" s="8">
        <f t="shared" si="1"/>
        <v>40</v>
      </c>
      <c r="K20" s="15">
        <v>0</v>
      </c>
      <c r="L20" s="8">
        <f t="shared" si="2"/>
        <v>0</v>
      </c>
    </row>
    <row r="21" spans="2:12" x14ac:dyDescent="0.25">
      <c r="B21" s="14" t="s">
        <v>54</v>
      </c>
      <c r="C21" s="14" t="s">
        <v>56</v>
      </c>
      <c r="D21" s="14" t="s">
        <v>57</v>
      </c>
      <c r="E21" s="13">
        <f t="shared" si="0"/>
        <v>2.5000000000000001E-4</v>
      </c>
      <c r="F21" s="19">
        <v>500</v>
      </c>
      <c r="G21" s="18">
        <v>0.25</v>
      </c>
      <c r="H21" s="15">
        <v>1000</v>
      </c>
      <c r="I21" s="10" t="s">
        <v>2</v>
      </c>
      <c r="J21" s="8">
        <f t="shared" si="1"/>
        <v>0.125</v>
      </c>
      <c r="K21" s="15">
        <v>0</v>
      </c>
      <c r="L21" s="8">
        <f t="shared" si="2"/>
        <v>0</v>
      </c>
    </row>
    <row r="22" spans="2:12" x14ac:dyDescent="0.25">
      <c r="B22" s="14" t="s">
        <v>54</v>
      </c>
      <c r="C22" s="14" t="s">
        <v>58</v>
      </c>
      <c r="D22" s="14" t="s">
        <v>59</v>
      </c>
      <c r="E22" s="13">
        <f t="shared" si="0"/>
        <v>0.06</v>
      </c>
      <c r="F22" s="19">
        <v>500</v>
      </c>
      <c r="G22" s="18">
        <v>30</v>
      </c>
      <c r="H22" s="15">
        <v>500</v>
      </c>
      <c r="I22" s="10" t="s">
        <v>2</v>
      </c>
      <c r="J22" s="8">
        <f t="shared" si="1"/>
        <v>30</v>
      </c>
      <c r="K22" s="15">
        <v>0</v>
      </c>
      <c r="L22" s="8">
        <f t="shared" si="2"/>
        <v>0</v>
      </c>
    </row>
    <row r="23" spans="2:12" x14ac:dyDescent="0.25">
      <c r="B23" s="14" t="s">
        <v>54</v>
      </c>
      <c r="C23" s="14" t="s">
        <v>60</v>
      </c>
      <c r="D23" s="14" t="s">
        <v>61</v>
      </c>
      <c r="E23" s="13">
        <f t="shared" si="0"/>
        <v>0.04</v>
      </c>
      <c r="F23" s="19">
        <v>500</v>
      </c>
      <c r="G23" s="18">
        <v>20</v>
      </c>
      <c r="H23" s="15">
        <v>500</v>
      </c>
      <c r="I23" s="10" t="s">
        <v>2</v>
      </c>
      <c r="J23" s="8">
        <f t="shared" si="1"/>
        <v>20</v>
      </c>
      <c r="K23" s="15">
        <v>0</v>
      </c>
      <c r="L23" s="8">
        <f t="shared" si="2"/>
        <v>0</v>
      </c>
    </row>
    <row r="24" spans="2:12" x14ac:dyDescent="0.25">
      <c r="B24" s="14" t="s">
        <v>62</v>
      </c>
      <c r="C24" s="14" t="s">
        <v>63</v>
      </c>
      <c r="D24" s="14" t="s">
        <v>64</v>
      </c>
      <c r="E24" s="13">
        <f t="shared" si="0"/>
        <v>34.994999999999997</v>
      </c>
      <c r="F24" s="19">
        <f>[1]Général!D12</f>
        <v>1</v>
      </c>
      <c r="G24" s="18">
        <v>69.989999999999995</v>
      </c>
      <c r="H24" s="15">
        <v>2</v>
      </c>
      <c r="I24" s="10" t="s">
        <v>2</v>
      </c>
      <c r="J24" s="8">
        <f t="shared" si="1"/>
        <v>34.994999999999997</v>
      </c>
      <c r="K24" s="15">
        <v>0</v>
      </c>
      <c r="L24" s="8">
        <f t="shared" si="2"/>
        <v>0</v>
      </c>
    </row>
    <row r="25" spans="2:12" x14ac:dyDescent="0.25">
      <c r="B25" s="14" t="s">
        <v>65</v>
      </c>
      <c r="C25" s="14" t="s">
        <v>66</v>
      </c>
      <c r="D25" s="14" t="s">
        <v>4</v>
      </c>
      <c r="E25" s="13">
        <f>[1]Dépenses!$D$34</f>
        <v>12.31</v>
      </c>
      <c r="F25" s="12">
        <f>12*8</f>
        <v>96</v>
      </c>
      <c r="G25" s="11"/>
      <c r="H25" s="9"/>
      <c r="I25" s="10" t="s">
        <v>15</v>
      </c>
      <c r="J25" s="8">
        <f t="shared" si="1"/>
        <v>1181.76</v>
      </c>
      <c r="K25" s="9">
        <v>0</v>
      </c>
      <c r="L25" s="8"/>
    </row>
    <row r="26" spans="2:12" x14ac:dyDescent="0.25">
      <c r="B26" s="14" t="s">
        <v>65</v>
      </c>
      <c r="C26" s="14" t="s">
        <v>66</v>
      </c>
      <c r="D26" s="14" t="s">
        <v>5</v>
      </c>
      <c r="E26" s="13">
        <f>[1]Dépenses!$D$34</f>
        <v>12.31</v>
      </c>
      <c r="F26" s="12">
        <f t="shared" ref="F26:F28" si="3">12*8</f>
        <v>96</v>
      </c>
      <c r="G26" s="11"/>
      <c r="H26" s="9"/>
      <c r="I26" s="10" t="s">
        <v>15</v>
      </c>
      <c r="J26" s="8">
        <f t="shared" si="1"/>
        <v>1181.76</v>
      </c>
      <c r="K26" s="9">
        <v>0</v>
      </c>
      <c r="L26" s="8"/>
    </row>
    <row r="27" spans="2:12" x14ac:dyDescent="0.25">
      <c r="B27" s="14" t="s">
        <v>65</v>
      </c>
      <c r="C27" s="14" t="s">
        <v>66</v>
      </c>
      <c r="D27" s="14" t="s">
        <v>6</v>
      </c>
      <c r="E27" s="13">
        <f>[1]Dépenses!$D$34</f>
        <v>12.31</v>
      </c>
      <c r="F27" s="12">
        <f t="shared" si="3"/>
        <v>96</v>
      </c>
      <c r="G27" s="11"/>
      <c r="H27" s="9"/>
      <c r="I27" s="10" t="s">
        <v>15</v>
      </c>
      <c r="J27" s="8">
        <f t="shared" si="1"/>
        <v>1181.76</v>
      </c>
      <c r="K27" s="9">
        <v>0</v>
      </c>
      <c r="L27" s="8"/>
    </row>
    <row r="28" spans="2:12" x14ac:dyDescent="0.25">
      <c r="B28" s="14" t="s">
        <v>65</v>
      </c>
      <c r="C28" s="14" t="s">
        <v>66</v>
      </c>
      <c r="D28" s="14" t="s">
        <v>7</v>
      </c>
      <c r="E28" s="13">
        <f>[1]Dépenses!$D$34</f>
        <v>12.31</v>
      </c>
      <c r="F28" s="12">
        <f t="shared" si="3"/>
        <v>96</v>
      </c>
      <c r="G28" s="11"/>
      <c r="H28" s="9"/>
      <c r="I28" s="10" t="s">
        <v>15</v>
      </c>
      <c r="J28" s="8">
        <f t="shared" si="1"/>
        <v>1181.76</v>
      </c>
      <c r="K28" s="9">
        <v>0</v>
      </c>
      <c r="L28" s="8"/>
    </row>
    <row r="29" spans="2:12" x14ac:dyDescent="0.25">
      <c r="B29" s="7" t="s">
        <v>67</v>
      </c>
      <c r="C29" s="5"/>
      <c r="D29" s="5"/>
      <c r="E29" s="5"/>
      <c r="F29" s="5"/>
      <c r="G29" s="5"/>
      <c r="H29" s="5"/>
      <c r="I29" s="5"/>
      <c r="J29" s="6">
        <f>SUM(J3:J28)</f>
        <v>5149.0619999999999</v>
      </c>
      <c r="K29" s="5"/>
      <c r="L29" s="6">
        <f>SUM(L3:L28)</f>
        <v>209.85999999999999</v>
      </c>
    </row>
    <row r="30" spans="2:12" x14ac:dyDescent="0.25">
      <c r="B30" s="4" t="s">
        <v>17</v>
      </c>
      <c r="C30" s="2"/>
      <c r="D30" s="2"/>
      <c r="E30" s="2"/>
      <c r="F30" s="2"/>
      <c r="G30" s="2"/>
      <c r="H30" s="2"/>
      <c r="I30" s="2"/>
      <c r="J30" s="3">
        <f>SUMIF($I$3:$I$28,"Polytech",J$3:J$28)</f>
        <v>127.44999999999999</v>
      </c>
      <c r="K30" s="2"/>
      <c r="L30" s="3">
        <f>SUMIF($I$3:$I$28,"Polytech",L$3:L$28)</f>
        <v>127.44999999999999</v>
      </c>
    </row>
    <row r="31" spans="2:12" x14ac:dyDescent="0.25">
      <c r="B31" s="4" t="s">
        <v>16</v>
      </c>
      <c r="C31" s="2"/>
      <c r="D31" s="2"/>
      <c r="E31" s="2"/>
      <c r="F31" s="2"/>
      <c r="G31" s="2"/>
      <c r="H31" s="2"/>
      <c r="I31" s="2"/>
      <c r="J31" s="3">
        <f>SUMIF($I$3:$I$28,"Robotek",J$3:J$28)</f>
        <v>294.572</v>
      </c>
      <c r="K31" s="2"/>
      <c r="L31" s="3">
        <f>SUMIF($I$3:$I$28,"Robotek",L$3:L$28)</f>
        <v>82.41</v>
      </c>
    </row>
    <row r="32" spans="2:12" x14ac:dyDescent="0.25">
      <c r="B32" s="4" t="s">
        <v>68</v>
      </c>
      <c r="C32" s="2"/>
      <c r="D32" s="2"/>
      <c r="E32" s="2"/>
      <c r="F32" s="2"/>
      <c r="G32" s="2"/>
      <c r="H32" s="2"/>
      <c r="I32" s="2"/>
      <c r="J32" s="3">
        <f>SUMIF($B$3:$B$28,"Human",J$3:J$28)</f>
        <v>4727.04</v>
      </c>
      <c r="K32" s="2"/>
      <c r="L32" s="3"/>
    </row>
    <row r="33" spans="5:10" x14ac:dyDescent="0.25">
      <c r="E33"/>
      <c r="G33"/>
      <c r="J33"/>
    </row>
  </sheetData>
  <autoFilter ref="B2:L32" xr:uid="{A5CC366A-384E-4F12-BF5A-479D0D7B6EE4}">
    <filterColumn colId="7">
      <filters blank="1">
        <filter val="—"/>
        <filter val="Robotek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5E2E66B2FE554D84BD894B8E74E7C6" ma:contentTypeVersion="6" ma:contentTypeDescription="Create a new document." ma:contentTypeScope="" ma:versionID="afb3f9f3af1470f3eec610a3a0c74a6d">
  <xsd:schema xmlns:xsd="http://www.w3.org/2001/XMLSchema" xmlns:xs="http://www.w3.org/2001/XMLSchema" xmlns:p="http://schemas.microsoft.com/office/2006/metadata/properties" xmlns:ns3="50499314-4d75-44bf-980c-5557f5ebabf5" targetNamespace="http://schemas.microsoft.com/office/2006/metadata/properties" ma:root="true" ma:fieldsID="bdc0c8ffb0c0d17e5d00b7c62fc8f0e6" ns3:_="">
    <xsd:import namespace="50499314-4d75-44bf-980c-5557f5ebab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99314-4d75-44bf-980c-5557f5ebab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499314-4d75-44bf-980c-5557f5ebabf5" xsi:nil="true"/>
  </documentManagement>
</p:properties>
</file>

<file path=customXml/itemProps1.xml><?xml version="1.0" encoding="utf-8"?>
<ds:datastoreItem xmlns:ds="http://schemas.openxmlformats.org/officeDocument/2006/customXml" ds:itemID="{DE6AB87C-4931-45C0-AFA8-9F972E4C9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499314-4d75-44bf-980c-5557f5ebab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09A4E5-D590-42C4-9522-769A2F55F0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F78A4F-6FD0-4028-9AAC-5FDCDFFCEA74}">
  <ds:schemaRefs>
    <ds:schemaRef ds:uri="http://purl.org/dc/elements/1.1/"/>
    <ds:schemaRef ds:uri="http://www.w3.org/XML/1998/namespace"/>
    <ds:schemaRef ds:uri="http://schemas.microsoft.com/office/2006/documentManagement/types"/>
    <ds:schemaRef ds:uri="50499314-4d75-44bf-980c-5557f5ebabf5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Borges</dc:creator>
  <cp:lastModifiedBy>Mickael Borges</cp:lastModifiedBy>
  <dcterms:created xsi:type="dcterms:W3CDTF">2026-10-27T15:33:29Z</dcterms:created>
  <dcterms:modified xsi:type="dcterms:W3CDTF">2026-10-27T16:36:23Z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0x010100ED5E2E66B2FE554D84BD894B8E74E7C6</vt:lpwstr>
  </property>
</Properties>
</file>