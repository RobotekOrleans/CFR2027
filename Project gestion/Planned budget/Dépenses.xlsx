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bm\OneDrive\Documents\GitHub\CFR2027\Project gestion\"/>
    </mc:Choice>
  </mc:AlternateContent>
  <xr:revisionPtr revIDLastSave="0" documentId="13_ncr:1_{BDBA64AF-67D1-44CD-99A8-0F537E93028D}" xr6:coauthVersionLast="47" xr6:coauthVersionMax="47" xr10:uidLastSave="{00000000-0000-0000-0000-000000000000}"/>
  <bookViews>
    <workbookView xWindow="-108" yWindow="-108" windowWidth="23256" windowHeight="12456" firstSheet="5" activeTab="3" xr2:uid="{DC506655-D796-47EE-BDAC-EDB6EB12EC7A}"/>
  </bookViews>
  <sheets>
    <sheet name="Général" sheetId="1" r:id="rId1"/>
    <sheet name="Polytech" sheetId="2" r:id="rId2"/>
    <sheet name="Robotek" sheetId="3" r:id="rId3"/>
    <sheet name="Moteur" sheetId="4" r:id="rId4"/>
    <sheet name="Pompe" sheetId="5" r:id="rId5"/>
    <sheet name="Feuil1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4" l="1"/>
  <c r="I5" i="3"/>
  <c r="I4" i="2"/>
  <c r="J4" i="2" s="1"/>
  <c r="F4" i="2"/>
  <c r="F3" i="3"/>
  <c r="I4" i="3"/>
  <c r="J4" i="3" s="1"/>
  <c r="F4" i="3"/>
  <c r="I3" i="3"/>
  <c r="J3" i="3" s="1"/>
  <c r="C13" i="1"/>
  <c r="J5" i="3"/>
  <c r="L3" i="3" s="1"/>
  <c r="F5" i="3"/>
</calcChain>
</file>

<file path=xl/sharedStrings.xml><?xml version="1.0" encoding="utf-8"?>
<sst xmlns="http://schemas.openxmlformats.org/spreadsheetml/2006/main" count="162" uniqueCount="83">
  <si>
    <t>Produit</t>
  </si>
  <si>
    <t>Coûts unitaire</t>
  </si>
  <si>
    <t>nombre</t>
  </si>
  <si>
    <t>Lien d'achat</t>
  </si>
  <si>
    <t>Datasheet</t>
  </si>
  <si>
    <t>Support ventouse + ventouse</t>
  </si>
  <si>
    <t>Roue</t>
  </si>
  <si>
    <t>Rasberry pi4</t>
  </si>
  <si>
    <t>Fournit par Robotek</t>
  </si>
  <si>
    <t>ESP 32 wroom</t>
  </si>
  <si>
    <t>https://documentation.espressif.com/esp32-wroom-32_datasheet_en.pdf</t>
  </si>
  <si>
    <t>Pompe</t>
  </si>
  <si>
    <t>https://www.gotronic.fr/art-mini-pompe-a-vide-370-fit0801-34166.htm</t>
  </si>
  <si>
    <t>https://www.gotronic.fr/art-motoreducteur-encodeur-fit0521-27897.htm</t>
  </si>
  <si>
    <t>Ponts en H</t>
  </si>
  <si>
    <t>Camera</t>
  </si>
  <si>
    <t>Ultrasonic sensors</t>
  </si>
  <si>
    <t>Servomotors</t>
  </si>
  <si>
    <t>Betterie</t>
  </si>
  <si>
    <t xml:space="preserve">Total : </t>
  </si>
  <si>
    <t>Liste des composant commander par Polytech</t>
  </si>
  <si>
    <t>Liens</t>
  </si>
  <si>
    <t>Site</t>
  </si>
  <si>
    <t>Nom</t>
  </si>
  <si>
    <t>Qd</t>
  </si>
  <si>
    <t>Prix par unité</t>
  </si>
  <si>
    <t>Prix</t>
  </si>
  <si>
    <t>Souhaiter</t>
  </si>
  <si>
    <t>Nb à commander</t>
  </si>
  <si>
    <t>Prix total</t>
  </si>
  <si>
    <t>gotronic</t>
  </si>
  <si>
    <t xml:space="preserve">Mini pompe à vide 370 FIT0801 </t>
  </si>
  <si>
    <t xml:space="preserve">Liste des composants commander par Robotek orleans </t>
  </si>
  <si>
    <t>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</t>
  </si>
  <si>
    <t>Aliexpress</t>
  </si>
  <si>
    <t>Moteur encodeur</t>
  </si>
  <si>
    <t>https://fr.aliexpress.com/item/1005008686230991.html?spm=a2g0o.productlist.main.4.5c0c126bejHz5K&amp;algo_pvid=bdd2c30d-a35d-45c0-8c2d-c579edd7918c&amp;algo_exp_id=bdd2c30d-a35d-45c0-8c2d-c579edd7918c-3&amp;pdp_ext_f=%7B%22order%22%3A%224%22%2C%22eval%22%3A%221%22%2C%22fromPage%22%3A%22search%22%7D&amp;pdp_npi=6%40dis%21EUR%2133.98%2116.99%21%21%21248.21%21124.11%21%4021613a6017918783253143064e0fba%2112000046239977117%21sea%21FR%210%21ABX%211%210%21n_tag%3A-29910%3Bd%3Ae75bf42%3Bm03_new_user%3A-29895&amp;curPageLogUid=0qIJv1078DbE&amp;utparam-url=scene%3Asearch%7Cquery_from%3A%7Cx_object_id%3A1005008686230991%7C_p_origin_prod%3A</t>
  </si>
  <si>
    <t>Roue omnidirectionnelle</t>
  </si>
  <si>
    <t>https://fr.aliexpress.com/item/1005010529232254.html?spm=a2g0o.productlist.main.4.13296d63yVGIlF&amp;aem_p4p_detail=202610090711143021213693170480000968655&amp;algo_pvid=90fbfd16-884d-4d5b-89a5-534b05a0d512&amp;algo_exp_id=90fbfd16-884d-4d5b-89a5-534b05a0d512-3&amp;pdp_ext_f=%7B%22order%22%3A%22116%22%2C%22eval%22%3A%221%22%2C%22fromPage%22%3A%22search%22%7D&amp;pdp_npi=6%40dis%21EUR%218.49%218.49%21%21%2162.34%2162.34%21%4021038db317915550745997311e10bb%2112000052710444792%21sea%21FR%210%21ABX%211%210%21n_tag%3A-29910%3Bd%3Ae75bf42%3Bm03_new_user%3A-29895&amp;curPageLogUid=xnN2CBEHq8ka&amp;utparam-url=scene%3Asearch%7Cquery_from%3A%7Cx_object_id%3A1005010529232254%7C_p_origin_prod%3A&amp;search_p4p_id=202610090711143021213693170480000968655_1</t>
  </si>
  <si>
    <t>Ventouse</t>
  </si>
  <si>
    <t>https://fr.aliexpress.com/item/1005013297231787.html?pdp_npi=6%40dis%21EUR%211.96%211.96%21%21%2114.32%2114.32%21%40214114e317918690683045609e0d50%2112000060819652638%21affd%21%21%21%211%210%21&amp;dp=CjwKCAjwrbfWBhAeEiwAc2e6PjUsx2DdkTH_5B3EP2fEbG5Xn3Q2X53h_vfKqIFSCDD4N-KGRWtMnhoCj3EQAvD_BwE%400AAAAACWZmZkWgxhj-KaOaY3Wbyra8I3-e%40CkIKCQjwirLWBhDEARIxAEPaPzkTmccVZboy7tc5ctUbOo3oahOXFwhLGyRo_Pd2dHdJ4IZ5XyHeXBmQLpZYRxoCN4U&amp;tracking_id=ODAyLWctMg%3D%3D&amp;gad_source=1&amp;gad_campaignid=24152091097&amp;gbraid=0AAAAACWZmZkWgxhj-KaOaY3Wbyra8I3-e&amp;gclid=CjwKCAjwrbfWBhAeEiwAc2e6PjUsx2DdkTH_5B3EP2fEbG5Xn3Q2X53h_vfKqIFSCDD4N-KGRWtMnhoCj3EQAvD_BwE&amp;aff_fcid=542b287913d94de78d823dc090d5f8c8-1791888685874-04824&amp;aff_fsk=&amp;aff_platform=api-new-product-query&amp;sk=&amp;aff_trace_key=542b287913d94de78d823dc090d5f8c8-1791888685874-04824&amp;terminal_id=9ef0c3bc217a401780c58dbce6ec5ac1&amp;afSmartRedirect=y</t>
  </si>
  <si>
    <t>tuyau pour ventause</t>
  </si>
  <si>
    <t>tension d'alimentation (v)</t>
  </si>
  <si>
    <t>Couple (Kg.cm)</t>
  </si>
  <si>
    <t>Intensité de démarage (A)</t>
  </si>
  <si>
    <t>Encodeur</t>
  </si>
  <si>
    <t>Vitesse (rpm)</t>
  </si>
  <si>
    <t>Prix (€)</t>
  </si>
  <si>
    <t>LN298N</t>
  </si>
  <si>
    <t xml:space="preserve">Note </t>
  </si>
  <si>
    <t>Gotronic</t>
  </si>
  <si>
    <t>FIT0520</t>
  </si>
  <si>
    <t>oui</t>
  </si>
  <si>
    <t>https://www.gotronic.fr/art-motoreducteur-encodeur-fit0520-27896.htm</t>
  </si>
  <si>
    <t>FIT0522</t>
  </si>
  <si>
    <t>https://www.gotronic.fr/art-motoreducteur-encodeur-fit0522-27898.htm</t>
  </si>
  <si>
    <t>FIT0521</t>
  </si>
  <si>
    <t>non</t>
  </si>
  <si>
    <t xml:space="preserve">37Y3530-43.8 </t>
  </si>
  <si>
    <t>https://www.gotronic.fr/art-motoreducteur-encodeur-37y3530-43-8-20605.htm</t>
  </si>
  <si>
    <t xml:space="preserve">37Y3530-131 </t>
  </si>
  <si>
    <t>https://www.gotronic.fr/art-motoreducteur-encodeur-37y3530-131-20604.htm</t>
  </si>
  <si>
    <t>FIT0450</t>
  </si>
  <si>
    <t>https://www.gotronic.fr/art-kit-moteur-encodeur-fit0450-27583.htm</t>
  </si>
  <si>
    <t>https://www.gotronic.fr/art-motoreducteur-encodeur-4755-28113.htm</t>
  </si>
  <si>
    <t>JGA25-370</t>
  </si>
  <si>
    <t xml:space="preserve">sGM25-370 </t>
  </si>
  <si>
    <t>https://fr.aliexpress.com/item/1005009095909930.html?spm=a2g0o.productlist.main.13.395a7385lAZkPe&amp;algo_pvid=435ecf1f-7460-4324-a019-353c5a35ef82&amp;algo_exp_id=435ecf1f-7460-4324-a019-353c5a35ef82-12&amp;pdp_ext_f=%7B%22order%22%3A%2273%22%2C%22eval%22%3A%221%22%2C%22fromPage%22%3A%22search%22%7D&amp;pdp_npi=6%40dis%21EUR%216.86%216.29%21%21%2150.29%2146.08%21%400b8848bf17921449700828002e105b%2112000047894628827%21sea%21FR%210%21ABX%211%210%21n_tag%3A-29910%3Bd%3Ae75bf42%3Bm03_new_user%3A-29895&amp;curPageLogUid=pIGJIPpt6fA2&amp;utparam-url=scene%3Asearch%7Cquery_from%3A%7Cx_object_id%3A1005009095909930%7C_p_origin_prod%3A</t>
  </si>
  <si>
    <t>Aspiration (kpa)</t>
  </si>
  <si>
    <t>Débit (L.min)</t>
  </si>
  <si>
    <t>diamètre d'entré (mm)</t>
  </si>
  <si>
    <t>FIT0801</t>
  </si>
  <si>
    <t>Moteur</t>
  </si>
  <si>
    <t>370 FIT0801</t>
  </si>
  <si>
    <t>Vide min (kpa)</t>
  </si>
  <si>
    <t>Vide min requis = -30kpa</t>
  </si>
  <si>
    <t>Débit (L/min)</t>
  </si>
  <si>
    <t>Diamètre de sortie (mm)</t>
  </si>
  <si>
    <t>AliExpress</t>
  </si>
  <si>
    <t>https://www.aliexpress.us/item/3256805770721534.html</t>
  </si>
  <si>
    <t>https://fr.aliexpress.com/item/1005006476509817.html?spm=a2g0o.productlist.main.4.58d8267f2absbs&amp;aem_p4p_detail=202610210127336588276842480480000094386&amp;algo_pvid=2c9c043c-d203-40e4-bcbd-8442561367db&amp;algo_exp_id=2c9c043c-d203-40e4-bcbd-8442561367db-3&amp;pdp_ext_f=%7B"order"%3A"12"%2C"eval"%3A"1"%2C"fromPage"%3A"search"%7D&amp;pdp_npi=6%40dis%21EUR%215.19%215.19%21%21%215.69%215.69%21%400b15834e17925712533892786e0ea1%2112000037342014469%21sea%21FR%210%21ABX%211%210%21n_tag%3A-29910%3Bd%3Afda5f202%3Bm03_new_user%3A-29895&amp;curPageLogUid=RhHnMSGfmdep&amp;utparam-url=scene%3Asearch%7Cquery_from%3A%7Cx_object_id%3A1005006476509817%7C_p_origin_prod%3A&amp;search_p4p_id=202610210127336588276842480480000094386_1</t>
  </si>
  <si>
    <t>VN-2707PM</t>
  </si>
  <si>
    <t>370C-22155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</si>
</sst>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;_(@_)"/>
    <numFmt numFmtId="165" formatCode="_-* #,##0.00\ [$€-40C]_-;\-* #,##0.00\ [$€-40C]_-;_-* &quot;-&quot;??\ [$€-40C]_-;_-@_-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charset val="1"/>
    </font>
    <font>
      <sz val="11"/>
      <color theme="1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83CAEB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1" applyBorder="1"/>
    <xf numFmtId="0" fontId="0" fillId="0" borderId="3" xfId="0" applyBorder="1"/>
    <xf numFmtId="0" fontId="0" fillId="0" borderId="4" xfId="0" applyBorder="1"/>
    <xf numFmtId="0" fontId="1" fillId="0" borderId="2" xfId="1" applyBorder="1"/>
    <xf numFmtId="0" fontId="2" fillId="2" borderId="5" xfId="0" applyFont="1" applyFill="1" applyBorder="1" applyAlignment="1">
      <alignment readingOrder="1"/>
    </xf>
    <xf numFmtId="0" fontId="2" fillId="2" borderId="6" xfId="0" applyFont="1" applyFill="1" applyBorder="1" applyAlignment="1">
      <alignment readingOrder="1"/>
    </xf>
    <xf numFmtId="0" fontId="1" fillId="0" borderId="7" xfId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164" fontId="3" fillId="0" borderId="8" xfId="0" applyNumberFormat="1" applyFont="1" applyBorder="1" applyAlignment="1">
      <alignment readingOrder="1"/>
    </xf>
    <xf numFmtId="164" fontId="2" fillId="2" borderId="6" xfId="0" applyNumberFormat="1" applyFont="1" applyFill="1" applyBorder="1" applyAlignment="1">
      <alignment readingOrder="1"/>
    </xf>
    <xf numFmtId="164" fontId="0" fillId="0" borderId="0" xfId="0" applyNumberFormat="1"/>
    <xf numFmtId="164" fontId="3" fillId="3" borderId="8" xfId="0" applyNumberFormat="1" applyFont="1" applyFill="1" applyBorder="1" applyAlignment="1">
      <alignment readingOrder="1"/>
    </xf>
    <xf numFmtId="0" fontId="1" fillId="0" borderId="0" xfId="1"/>
    <xf numFmtId="0" fontId="1" fillId="0" borderId="0" xfId="1" applyAlignment="1">
      <alignment horizontal="left" vertical="center" wrapText="1"/>
    </xf>
    <xf numFmtId="0" fontId="2" fillId="2" borderId="9" xfId="0" applyFont="1" applyFill="1" applyBorder="1" applyAlignment="1">
      <alignment readingOrder="1"/>
    </xf>
    <xf numFmtId="0" fontId="2" fillId="2" borderId="10" xfId="0" applyFont="1" applyFill="1" applyBorder="1" applyAlignment="1">
      <alignment readingOrder="1"/>
    </xf>
    <xf numFmtId="164" fontId="2" fillId="2" borderId="10" xfId="0" applyNumberFormat="1" applyFont="1" applyFill="1" applyBorder="1" applyAlignment="1">
      <alignment readingOrder="1"/>
    </xf>
    <xf numFmtId="0" fontId="1" fillId="0" borderId="1" xfId="1" applyBorder="1" applyAlignment="1">
      <alignment readingOrder="1"/>
    </xf>
    <xf numFmtId="0" fontId="3" fillId="0" borderId="1" xfId="0" applyFont="1" applyBorder="1" applyAlignment="1">
      <alignment readingOrder="1"/>
    </xf>
    <xf numFmtId="164" fontId="3" fillId="3" borderId="1" xfId="0" applyNumberFormat="1" applyFont="1" applyFill="1" applyBorder="1" applyAlignment="1">
      <alignment readingOrder="1"/>
    </xf>
    <xf numFmtId="164" fontId="3" fillId="0" borderId="1" xfId="0" applyNumberFormat="1" applyFont="1" applyBorder="1" applyAlignment="1">
      <alignment readingOrder="1"/>
    </xf>
    <xf numFmtId="0" fontId="3" fillId="3" borderId="1" xfId="0" applyFont="1" applyFill="1" applyBorder="1" applyAlignment="1">
      <alignment readingOrder="1"/>
    </xf>
    <xf numFmtId="164" fontId="0" fillId="0" borderId="1" xfId="0" applyNumberFormat="1" applyBorder="1"/>
    <xf numFmtId="0" fontId="1" fillId="0" borderId="1" xfId="1" applyBorder="1" applyAlignment="1">
      <alignment horizontal="left" vertical="center" wrapText="1"/>
    </xf>
    <xf numFmtId="0" fontId="0" fillId="0" borderId="12" xfId="0" applyBorder="1"/>
    <xf numFmtId="164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4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64" fontId="0" fillId="0" borderId="19" xfId="0" applyNumberFormat="1" applyBorder="1"/>
    <xf numFmtId="0" fontId="0" fillId="0" borderId="20" xfId="0" applyBorder="1"/>
    <xf numFmtId="0" fontId="0" fillId="4" borderId="11" xfId="0" applyFill="1" applyBorder="1"/>
    <xf numFmtId="164" fontId="0" fillId="4" borderId="11" xfId="0" applyNumberFormat="1" applyFill="1" applyBorder="1"/>
    <xf numFmtId="0" fontId="1" fillId="0" borderId="20" xfId="1" applyBorder="1"/>
    <xf numFmtId="0" fontId="0" fillId="4" borderId="22" xfId="0" applyFill="1" applyBorder="1"/>
    <xf numFmtId="0" fontId="0" fillId="4" borderId="23" xfId="0" applyFill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65" fontId="0" fillId="0" borderId="12" xfId="0" applyNumberFormat="1" applyBorder="1"/>
    <xf numFmtId="165" fontId="0" fillId="0" borderId="16" xfId="0" applyNumberFormat="1" applyBorder="1"/>
    <xf numFmtId="165" fontId="0" fillId="0" borderId="1" xfId="0" applyNumberFormat="1" applyBorder="1"/>
    <xf numFmtId="165" fontId="0" fillId="0" borderId="30" xfId="0" applyNumberFormat="1" applyBorder="1"/>
    <xf numFmtId="0" fontId="0" fillId="5" borderId="18" xfId="0" applyFill="1" applyBorder="1"/>
    <xf numFmtId="0" fontId="0" fillId="5" borderId="19" xfId="0" applyFill="1" applyBorder="1"/>
    <xf numFmtId="165" fontId="0" fillId="5" borderId="19" xfId="0" applyNumberFormat="1" applyFill="1" applyBorder="1"/>
    <xf numFmtId="0" fontId="0" fillId="5" borderId="20" xfId="0" applyFill="1" applyBorder="1"/>
    <xf numFmtId="0" fontId="0" fillId="0" borderId="0" xfId="0" applyFill="1"/>
    <xf numFmtId="0" fontId="0" fillId="0" borderId="0" xfId="0" applyFill="1" applyBorder="1"/>
    <xf numFmtId="0" fontId="0" fillId="4" borderId="32" xfId="0" applyFill="1" applyBorder="1"/>
    <xf numFmtId="0" fontId="0" fillId="0" borderId="34" xfId="0" applyBorder="1"/>
    <xf numFmtId="0" fontId="0" fillId="0" borderId="35" xfId="0" applyBorder="1"/>
    <xf numFmtId="0" fontId="0" fillId="0" borderId="37" xfId="0" applyBorder="1"/>
    <xf numFmtId="0" fontId="0" fillId="0" borderId="38" xfId="0" applyBorder="1"/>
    <xf numFmtId="0" fontId="0" fillId="5" borderId="33" xfId="0" applyFill="1" applyBorder="1"/>
    <xf numFmtId="0" fontId="0" fillId="5" borderId="36" xfId="0" applyFill="1" applyBorder="1"/>
    <xf numFmtId="164" fontId="0" fillId="4" borderId="39" xfId="0" applyNumberFormat="1" applyFill="1" applyBorder="1"/>
    <xf numFmtId="0" fontId="0" fillId="0" borderId="12" xfId="0" applyBorder="1" applyAlignment="1">
      <alignment horizontal="left"/>
    </xf>
    <xf numFmtId="16" fontId="0" fillId="0" borderId="0" xfId="0" applyNumberFormat="1" applyFill="1" applyBorder="1" applyAlignment="1">
      <alignment horizontal="right"/>
    </xf>
    <xf numFmtId="165" fontId="0" fillId="0" borderId="0" xfId="0" applyNumberFormat="1" applyFill="1" applyBorder="1"/>
    <xf numFmtId="164" fontId="0" fillId="0" borderId="0" xfId="0" applyNumberFormat="1" applyFill="1" applyBorder="1"/>
    <xf numFmtId="0" fontId="0" fillId="4" borderId="21" xfId="0" applyFill="1" applyBorder="1"/>
    <xf numFmtId="0" fontId="0" fillId="5" borderId="24" xfId="0" applyFill="1" applyBorder="1"/>
    <xf numFmtId="0" fontId="0" fillId="5" borderId="25" xfId="0" applyFill="1" applyBorder="1"/>
    <xf numFmtId="165" fontId="0" fillId="5" borderId="25" xfId="0" applyNumberFormat="1" applyFill="1" applyBorder="1"/>
    <xf numFmtId="0" fontId="0" fillId="5" borderId="26" xfId="0" applyFill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tronic.fr/art-motoreducteur-encodeur-fit0521-27897.htm" TargetMode="External"/><Relationship Id="rId2" Type="http://schemas.openxmlformats.org/officeDocument/2006/relationships/hyperlink" Target="https://documentation.espressif.com/esp32-wroom-32_datasheet_en.pdf" TargetMode="External"/><Relationship Id="rId1" Type="http://schemas.openxmlformats.org/officeDocument/2006/relationships/hyperlink" Target="https://www.gotronic.fr/art-mini-pompe-a-vide-370-fit0801-34166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tronic.fr/art-mini-pompe-a-vide-370-fit0801-34166.ht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r.aliexpress.com/item/1005010529232254.html?spm=a2g0o.productlist.main.4.13296d63yVGIlF&amp;aem_p4p_detail=202610090711143021213693170480000968655&amp;algo_pvid=90fbfd16-884d-4d5b-89a5-534b05a0d512&amp;algo_exp_id=90fbfd16-884d-4d5b-89a5-534b05a0d512-3&amp;pdp_ext_f=%7B%22order%22%3A%22116%22%2C%22eval%22%3A%221%22%2C%22fromPage%22%3A%22search%22%7D&amp;pdp_npi=6%40dis%21EUR%218.49%218.49%21%21%2162.34%2162.34%21%4021038db317915550745997311e10bb%2112000052710444792%21sea%21FR%210%21ABX%211%210%21n_tag%3A-29910%3Bd%3Ae75bf42%3Bm03_new_user%3A-29895&amp;curPageLogUid=xnN2CBEHq8ka&amp;utparam-url=scene%3Asearch%7Cquery_from%3A%7Cx_object_id%3A1005010529232254%7C_p_origin_prod%3A&amp;search_p4p_id=202610090711143021213693170480000968655_1" TargetMode="External"/><Relationship Id="rId2" Type="http://schemas.openxmlformats.org/officeDocument/2006/relationships/hyperlink" Target="https://fr.aliexpress.com/item/1005008686230991.html?spm=a2g0o.productlist.main.4.5c0c126bejHz5K&amp;algo_pvid=bdd2c30d-a35d-45c0-8c2d-c579edd7918c&amp;algo_exp_id=bdd2c30d-a35d-45c0-8c2d-c579edd7918c-3&amp;pdp_ext_f=%7B%22order%22%3A%224%22%2C%22eval%22%3A%221%22%2C%22fromPage%22%3A%22search%22%7D&amp;pdp_npi=6%40dis%21EUR%2133.98%2116.99%21%21%21248.21%21124.11%21%4021613a6017918783253143064e0fba%2112000046239977117%21sea%21FR%210%21ABX%211%210%21n_tag%3A-29910%3Bd%3Ae75bf42%3Bm03_new_user%3A-29895&amp;curPageLogUid=0qIJv1078DbE&amp;utparam-url=scene%3Asearch%7Cquery_from%3A%7Cx_object_id%3A1005008686230991%7C_p_origin_prod%3A" TargetMode="External"/><Relationship Id="rId1" Type="http://schemas.openxmlformats.org/officeDocument/2006/relationships/hyperlink" Target="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" TargetMode="External"/><Relationship Id="rId3" Type="http://schemas.openxmlformats.org/officeDocument/2006/relationships/hyperlink" Target="https://www.gotronic.fr/art-motoreducteur-encodeur-fit0521-27897.htm" TargetMode="External"/><Relationship Id="rId7" Type="http://schemas.openxmlformats.org/officeDocument/2006/relationships/hyperlink" Target="https://www.gotronic.fr/art-motoreducteur-encodeur-4755-28113.htm" TargetMode="External"/><Relationship Id="rId2" Type="http://schemas.openxmlformats.org/officeDocument/2006/relationships/hyperlink" Target="https://www.gotronic.fr/art-motoreducteur-encodeur-fit0522-27898.htm" TargetMode="External"/><Relationship Id="rId1" Type="http://schemas.openxmlformats.org/officeDocument/2006/relationships/hyperlink" Target="https://www.gotronic.fr/art-motoreducteur-encodeur-fit0520-27896.htm" TargetMode="External"/><Relationship Id="rId6" Type="http://schemas.openxmlformats.org/officeDocument/2006/relationships/hyperlink" Target="https://www.gotronic.fr/art-kit-moteur-encodeur-fit0450-27583.htm" TargetMode="External"/><Relationship Id="rId11" Type="http://schemas.openxmlformats.org/officeDocument/2006/relationships/hyperlink" Target="https://www.aliexpress.us/item/3256805770721534.html" TargetMode="External"/><Relationship Id="rId5" Type="http://schemas.openxmlformats.org/officeDocument/2006/relationships/hyperlink" Target="https://www.gotronic.fr/art-motoreducteur-encodeur-37y3530-131-20604.htm" TargetMode="External"/><Relationship Id="rId10" Type="http://schemas.openxmlformats.org/officeDocument/2006/relationships/hyperlink" Target="https://fr.aliexpress.com/item/32890830349.html" TargetMode="External"/><Relationship Id="rId4" Type="http://schemas.openxmlformats.org/officeDocument/2006/relationships/hyperlink" Target="https://www.gotronic.fr/art-motoreducteur-encodeur-37y3530-43-8-20605.htm" TargetMode="External"/><Relationship Id="rId9" Type="http://schemas.openxmlformats.org/officeDocument/2006/relationships/hyperlink" Target="https://fr.aliexpress.com/item/1005009095909930.html?spm=a2g0o.productlist.main.13.395a7385lAZkPe&amp;algo_pvid=435ecf1f-7460-4324-a019-353c5a35ef82&amp;algo_exp_id=435ecf1f-7460-4324-a019-353c5a35ef82-12&amp;pdp_ext_f=%7B%22order%22%3A%2273%22%2C%22eval%22%3A%221%22%2C%22fromPage%22%3A%22search%22%7D&amp;pdp_npi=6%40dis%21EUR%216.86%216.29%21%21%2150.29%2146.08%21%400b8848bf17921449700828002e105b%2112000047894628827%21sea%21FR%210%21ABX%211%210%21n_tag%3A-29910%3Bd%3Ae75bf42%3Bm03_new_user%3A-29895&amp;curPageLogUid=pIGJIPpt6fA2&amp;utparam-url=scene%3Asearch%7Cquery_from%3A%7Cx_object_id%3A1005009095909930%7C_p_origin_prod%3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tronic.fr/art-mini-pompe-a-vide-370-fit0801-34166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0A22-9DBC-4F42-9960-59990673E4FB}">
  <dimension ref="B1:G13"/>
  <sheetViews>
    <sheetView workbookViewId="0">
      <selection activeCell="E6" sqref="E6"/>
    </sheetView>
  </sheetViews>
  <sheetFormatPr baseColWidth="10" defaultColWidth="11.44140625" defaultRowHeight="14.4" x14ac:dyDescent="0.3"/>
  <cols>
    <col min="2" max="2" width="25.109375" customWidth="1"/>
    <col min="3" max="3" width="23" customWidth="1"/>
    <col min="5" max="5" width="60.5546875" bestFit="1" customWidth="1"/>
    <col min="6" max="6" width="17.33203125" bestFit="1" customWidth="1"/>
  </cols>
  <sheetData>
    <row r="1" spans="2:7" x14ac:dyDescent="0.3">
      <c r="B1" s="1" t="s">
        <v>0</v>
      </c>
      <c r="C1" s="1" t="s">
        <v>1</v>
      </c>
      <c r="D1" s="1" t="s">
        <v>2</v>
      </c>
      <c r="E1" s="1" t="s">
        <v>3</v>
      </c>
      <c r="F1" s="4"/>
      <c r="G1" s="1" t="s">
        <v>4</v>
      </c>
    </row>
    <row r="2" spans="2:7" x14ac:dyDescent="0.3">
      <c r="B2" s="1" t="s">
        <v>5</v>
      </c>
      <c r="C2" s="1">
        <v>11.99</v>
      </c>
      <c r="D2" s="1">
        <v>0</v>
      </c>
      <c r="E2" s="1"/>
      <c r="F2" s="4"/>
      <c r="G2" s="1"/>
    </row>
    <row r="3" spans="2:7" x14ac:dyDescent="0.3">
      <c r="B3" s="1" t="s">
        <v>6</v>
      </c>
      <c r="C3" s="1">
        <v>24.23</v>
      </c>
      <c r="D3" s="1">
        <v>0</v>
      </c>
      <c r="E3" s="1"/>
      <c r="F3" s="4"/>
      <c r="G3" s="1"/>
    </row>
    <row r="4" spans="2:7" x14ac:dyDescent="0.3">
      <c r="B4" s="1" t="s">
        <v>7</v>
      </c>
      <c r="C4" s="1">
        <v>0</v>
      </c>
      <c r="D4" s="1">
        <v>1</v>
      </c>
      <c r="E4" s="1"/>
      <c r="F4" s="4" t="s">
        <v>8</v>
      </c>
      <c r="G4" s="1"/>
    </row>
    <row r="5" spans="2:7" x14ac:dyDescent="0.3">
      <c r="B5" s="1" t="s">
        <v>9</v>
      </c>
      <c r="C5" s="1">
        <v>0</v>
      </c>
      <c r="D5" s="1">
        <v>1</v>
      </c>
      <c r="E5" s="1"/>
      <c r="F5" s="4" t="s">
        <v>8</v>
      </c>
      <c r="G5" s="3" t="s">
        <v>10</v>
      </c>
    </row>
    <row r="6" spans="2:7" x14ac:dyDescent="0.3">
      <c r="B6" s="1" t="s">
        <v>11</v>
      </c>
      <c r="C6" s="1">
        <v>8.2899999999999991</v>
      </c>
      <c r="D6" s="1">
        <v>5</v>
      </c>
      <c r="E6" s="3" t="s">
        <v>12</v>
      </c>
      <c r="F6" s="4"/>
      <c r="G6" s="1"/>
    </row>
    <row r="7" spans="2:7" x14ac:dyDescent="0.3">
      <c r="B7" s="2"/>
      <c r="C7" s="2"/>
      <c r="D7" s="2">
        <v>4</v>
      </c>
      <c r="E7" s="6" t="s">
        <v>13</v>
      </c>
      <c r="F7" s="5"/>
      <c r="G7" s="1"/>
    </row>
    <row r="8" spans="2:7" x14ac:dyDescent="0.3">
      <c r="B8" s="1" t="s">
        <v>14</v>
      </c>
      <c r="C8" s="1">
        <v>0</v>
      </c>
      <c r="D8" s="1">
        <v>4</v>
      </c>
      <c r="E8" s="1"/>
      <c r="F8" s="4" t="s">
        <v>8</v>
      </c>
      <c r="G8" s="1"/>
    </row>
    <row r="9" spans="2:7" x14ac:dyDescent="0.3">
      <c r="B9" s="2" t="s">
        <v>15</v>
      </c>
      <c r="C9" s="2">
        <v>0</v>
      </c>
      <c r="D9" s="2">
        <v>1</v>
      </c>
      <c r="E9" s="2"/>
      <c r="F9" s="5" t="s">
        <v>8</v>
      </c>
      <c r="G9" s="2"/>
    </row>
    <row r="10" spans="2:7" x14ac:dyDescent="0.3">
      <c r="B10" s="2" t="s">
        <v>16</v>
      </c>
      <c r="C10" s="2">
        <v>0</v>
      </c>
      <c r="D10" s="2">
        <v>4</v>
      </c>
      <c r="E10" s="2"/>
      <c r="F10" s="2" t="s">
        <v>8</v>
      </c>
      <c r="G10" s="2"/>
    </row>
    <row r="11" spans="2:7" x14ac:dyDescent="0.3">
      <c r="B11" s="2" t="s">
        <v>17</v>
      </c>
      <c r="C11" s="2">
        <v>0</v>
      </c>
      <c r="D11" s="2">
        <v>2</v>
      </c>
      <c r="E11" s="2"/>
      <c r="F11" s="2" t="s">
        <v>8</v>
      </c>
      <c r="G11" s="2"/>
    </row>
    <row r="12" spans="2:7" x14ac:dyDescent="0.3">
      <c r="B12" s="1" t="s">
        <v>18</v>
      </c>
      <c r="C12" s="1">
        <v>0</v>
      </c>
      <c r="D12" s="1">
        <v>1</v>
      </c>
      <c r="E12" s="1"/>
      <c r="F12" s="1" t="s">
        <v>8</v>
      </c>
      <c r="G12" s="1"/>
    </row>
    <row r="13" spans="2:7" x14ac:dyDescent="0.3">
      <c r="B13" t="s">
        <v>19</v>
      </c>
      <c r="C13">
        <f>SUM(C2*D2)+C3*D3+C4*D4+C5*D5+C6*D6+C7*D7+C8*D8+C9*D9+C10*D10</f>
        <v>41.449999999999996</v>
      </c>
    </row>
  </sheetData>
  <hyperlinks>
    <hyperlink ref="E6" r:id="rId1" xr:uid="{98D9C3A7-2E9C-490E-90C9-C7A12D248D6F}"/>
    <hyperlink ref="G5" r:id="rId2" xr:uid="{2D829237-14CA-4F62-8FAB-B699CF6C50D9}"/>
    <hyperlink ref="E7" r:id="rId3" xr:uid="{FA879E2A-703A-45C3-B8B2-BC0E4EADEB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31D0-FD6A-4B80-9270-6B4969006B71}">
  <dimension ref="A1:J7"/>
  <sheetViews>
    <sheetView workbookViewId="0">
      <selection activeCell="C10" sqref="C10"/>
    </sheetView>
  </sheetViews>
  <sheetFormatPr baseColWidth="10" defaultColWidth="9.109375" defaultRowHeight="14.4" x14ac:dyDescent="0.3"/>
  <cols>
    <col min="2" max="2" width="62.5546875" customWidth="1"/>
    <col min="3" max="3" width="24.88671875" customWidth="1"/>
    <col min="4" max="4" width="26.5546875" customWidth="1"/>
    <col min="5" max="5" width="21.88671875" customWidth="1"/>
    <col min="6" max="6" width="20.109375" customWidth="1"/>
    <col min="7" max="7" width="18.44140625" customWidth="1"/>
    <col min="8" max="8" width="21.33203125" customWidth="1"/>
    <col min="9" max="9" width="17.5546875" customWidth="1"/>
    <col min="10" max="10" width="16.33203125" customWidth="1"/>
  </cols>
  <sheetData>
    <row r="1" spans="1:10" x14ac:dyDescent="0.3">
      <c r="A1" t="s">
        <v>20</v>
      </c>
    </row>
    <row r="3" spans="1:10" x14ac:dyDescent="0.3">
      <c r="B3" s="7" t="s">
        <v>21</v>
      </c>
      <c r="C3" s="8" t="s">
        <v>22</v>
      </c>
      <c r="D3" s="8" t="s">
        <v>23</v>
      </c>
      <c r="E3" s="8" t="s">
        <v>24</v>
      </c>
      <c r="F3" s="13" t="s">
        <v>25</v>
      </c>
      <c r="G3" s="13" t="s">
        <v>26</v>
      </c>
      <c r="H3" s="8" t="s">
        <v>27</v>
      </c>
      <c r="I3" s="8" t="s">
        <v>28</v>
      </c>
      <c r="J3" s="8" t="s">
        <v>29</v>
      </c>
    </row>
    <row r="4" spans="1:10" x14ac:dyDescent="0.3">
      <c r="B4" s="9" t="s">
        <v>12</v>
      </c>
      <c r="C4" s="10" t="s">
        <v>30</v>
      </c>
      <c r="D4" s="10" t="s">
        <v>31</v>
      </c>
      <c r="E4" s="10">
        <v>1</v>
      </c>
      <c r="F4" s="15">
        <f>G4/E4</f>
        <v>8.9</v>
      </c>
      <c r="G4" s="12">
        <v>8.9</v>
      </c>
      <c r="H4" s="10">
        <v>5</v>
      </c>
      <c r="I4" s="11">
        <f>ROUNDUP(H4/E4,0)</f>
        <v>5</v>
      </c>
      <c r="J4" s="15">
        <f>I4*G4</f>
        <v>44.5</v>
      </c>
    </row>
    <row r="5" spans="1:10" x14ac:dyDescent="0.3">
      <c r="B5" s="9"/>
      <c r="C5" s="10"/>
      <c r="D5" s="10"/>
      <c r="E5" s="10"/>
      <c r="F5" s="15"/>
      <c r="G5" s="12"/>
      <c r="H5" s="10"/>
      <c r="I5" s="11"/>
      <c r="J5" s="15"/>
    </row>
    <row r="6" spans="1:10" x14ac:dyDescent="0.3">
      <c r="B6" s="16"/>
      <c r="F6" s="15"/>
      <c r="G6" s="14"/>
      <c r="I6" s="11"/>
      <c r="J6" s="15"/>
    </row>
    <row r="7" spans="1:10" ht="15.75" customHeight="1" x14ac:dyDescent="0.3">
      <c r="B7" s="17"/>
      <c r="F7" s="14"/>
      <c r="G7" s="14"/>
    </row>
  </sheetData>
  <hyperlinks>
    <hyperlink ref="B4" r:id="rId1" xr:uid="{384A45B5-5985-497E-B44D-234BDD5B54B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46E5-8DEC-4FBC-AFFD-A05EEF34C996}">
  <dimension ref="A1:L12"/>
  <sheetViews>
    <sheetView workbookViewId="0">
      <selection activeCell="B3" sqref="B3"/>
    </sheetView>
  </sheetViews>
  <sheetFormatPr baseColWidth="10" defaultColWidth="9.109375" defaultRowHeight="14.4" x14ac:dyDescent="0.3"/>
  <cols>
    <col min="2" max="2" width="29.88671875" customWidth="1"/>
    <col min="3" max="3" width="32.88671875" customWidth="1"/>
    <col min="4" max="4" width="29.109375" customWidth="1"/>
    <col min="5" max="5" width="20.33203125" customWidth="1"/>
    <col min="6" max="6" width="23.33203125" style="14" customWidth="1"/>
    <col min="7" max="7" width="9.109375" style="14"/>
    <col min="9" max="9" width="17" customWidth="1"/>
  </cols>
  <sheetData>
    <row r="1" spans="1:12" x14ac:dyDescent="0.3">
      <c r="A1" t="s">
        <v>32</v>
      </c>
    </row>
    <row r="2" spans="1:12" x14ac:dyDescent="0.3">
      <c r="B2" s="18" t="s">
        <v>21</v>
      </c>
      <c r="C2" s="19" t="s">
        <v>22</v>
      </c>
      <c r="D2" s="19" t="s">
        <v>23</v>
      </c>
      <c r="E2" s="19" t="s">
        <v>24</v>
      </c>
      <c r="F2" s="20" t="s">
        <v>25</v>
      </c>
      <c r="G2" s="20" t="s">
        <v>26</v>
      </c>
      <c r="H2" s="19" t="s">
        <v>27</v>
      </c>
      <c r="I2" s="19" t="s">
        <v>28</v>
      </c>
      <c r="J2" s="19" t="s">
        <v>29</v>
      </c>
    </row>
    <row r="3" spans="1:12" x14ac:dyDescent="0.3">
      <c r="B3" s="21" t="s">
        <v>33</v>
      </c>
      <c r="C3" s="22" t="s">
        <v>34</v>
      </c>
      <c r="D3" s="22" t="s">
        <v>35</v>
      </c>
      <c r="E3" s="22">
        <v>1</v>
      </c>
      <c r="F3" s="23">
        <f>G3/E3</f>
        <v>10.49</v>
      </c>
      <c r="G3" s="24">
        <v>10.49</v>
      </c>
      <c r="H3" s="22">
        <v>4</v>
      </c>
      <c r="I3" s="25">
        <f>ROUNDUP(H3/E3,0)</f>
        <v>4</v>
      </c>
      <c r="J3" s="23">
        <f>I3*G3</f>
        <v>41.96</v>
      </c>
      <c r="L3">
        <f>SUM(J:J)</f>
        <v>95.36999999999999</v>
      </c>
    </row>
    <row r="4" spans="1:12" x14ac:dyDescent="0.3">
      <c r="B4" s="21" t="s">
        <v>36</v>
      </c>
      <c r="C4" s="22" t="s">
        <v>34</v>
      </c>
      <c r="D4" s="22" t="s">
        <v>37</v>
      </c>
      <c r="E4" s="22">
        <v>4</v>
      </c>
      <c r="F4" s="23">
        <f>E4/G4</f>
        <v>0.23543260741612715</v>
      </c>
      <c r="G4" s="24">
        <v>16.989999999999998</v>
      </c>
      <c r="H4" s="22">
        <v>4</v>
      </c>
      <c r="I4" s="25">
        <f>ROUNDUP(H4/E4,0)</f>
        <v>1</v>
      </c>
      <c r="J4" s="23">
        <f>I4*G4</f>
        <v>16.989999999999998</v>
      </c>
    </row>
    <row r="5" spans="1:12" x14ac:dyDescent="0.3">
      <c r="B5" s="3" t="s">
        <v>38</v>
      </c>
      <c r="C5" s="1" t="s">
        <v>34</v>
      </c>
      <c r="D5" s="1" t="s">
        <v>39</v>
      </c>
      <c r="E5" s="1">
        <v>1</v>
      </c>
      <c r="F5" s="23">
        <f>E5/G5</f>
        <v>0.11778563015312131</v>
      </c>
      <c r="G5" s="26">
        <v>8.49</v>
      </c>
      <c r="H5" s="1">
        <v>4</v>
      </c>
      <c r="I5" s="25">
        <f>ROUNDUP(H5/E5,0)</f>
        <v>4</v>
      </c>
      <c r="J5" s="23">
        <f>I5*G5</f>
        <v>33.96</v>
      </c>
    </row>
    <row r="6" spans="1:12" ht="28.5" customHeight="1" x14ac:dyDescent="0.3">
      <c r="B6" s="27" t="s">
        <v>40</v>
      </c>
      <c r="C6" s="1" t="s">
        <v>34</v>
      </c>
      <c r="D6" s="1" t="s">
        <v>41</v>
      </c>
      <c r="E6" s="1">
        <v>1</v>
      </c>
      <c r="F6" s="26">
        <v>2.46</v>
      </c>
      <c r="G6" s="26">
        <v>2.46</v>
      </c>
      <c r="H6" s="1">
        <v>1</v>
      </c>
      <c r="I6" s="1">
        <v>1</v>
      </c>
      <c r="J6" s="1">
        <v>2.46</v>
      </c>
    </row>
    <row r="12" spans="1:12" x14ac:dyDescent="0.3">
      <c r="B12" s="16"/>
    </row>
  </sheetData>
  <hyperlinks>
    <hyperlink ref="B3" r:id="rId1" display="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" xr:uid="{75E83847-97A6-484B-BACF-54FDC8DE8993}"/>
    <hyperlink ref="B4" r:id="rId2" display="https://fr.aliexpress.com/item/1005008686230991.html?spm=a2g0o.productlist.main.4.5c0c126bejHz5K&amp;algo_pvid=bdd2c30d-a35d-45c0-8c2d-c579edd7918c&amp;algo_exp_id=bdd2c30d-a35d-45c0-8c2d-c579edd7918c-3&amp;pdp_ext_f=%7B%22order%22%3A%224%22%2C%22eval%22%3A%221%22%2C%22fromPage%22%3A%22search%22%7D&amp;pdp_npi=6%40dis%21EUR%2133.98%2116.99%21%21%21248.21%21124.11%21%4021613a6017918783253143064e0fba%2112000046239977117%21sea%21FR%210%21ABX%211%210%21n_tag%3A-29910%3Bd%3Ae75bf42%3Bm03_new_user%3A-29895&amp;curPageLogUid=0qIJv1078DbE&amp;utparam-url=scene%3Asearch%7Cquery_from%3A%7Cx_object_id%3A1005008686230991%7C_p_origin_prod%3A" xr:uid="{54FFF994-C825-4B4E-BD46-BC283C0934BC}"/>
    <hyperlink ref="B5" r:id="rId3" display="https://fr.aliexpress.com/item/1005010529232254.html?spm=a2g0o.productlist.main.4.13296d63yVGIlF&amp;aem_p4p_detail=202610090711143021213693170480000968655&amp;algo_pvid=90fbfd16-884d-4d5b-89a5-534b05a0d512&amp;algo_exp_id=90fbfd16-884d-4d5b-89a5-534b05a0d512-3&amp;pdp_ext_f=%7B%22order%22%3A%22116%22%2C%22eval%22%3A%221%22%2C%22fromPage%22%3A%22search%22%7D&amp;pdp_npi=6%40dis%21EUR%218.49%218.49%21%21%2162.34%2162.34%21%4021038db317915550745997311e10bb%2112000052710444792%21sea%21FR%210%21ABX%211%210%21n_tag%3A-29910%3Bd%3Ae75bf42%3Bm03_new_user%3A-29895&amp;curPageLogUid=xnN2CBEHq8ka&amp;utparam-url=scene%3Asearch%7Cquery_from%3A%7Cx_object_id%3A1005010529232254%7C_p_origin_prod%3A&amp;search_p4p_id=202610090711143021213693170480000968655_1" xr:uid="{74E5C472-A635-4F27-A0A8-A482B62C2EE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EAC6-6B63-41E7-8C21-49F258C20125}">
  <dimension ref="A1:M23"/>
  <sheetViews>
    <sheetView tabSelected="1" zoomScale="85" zoomScaleNormal="85" workbookViewId="0">
      <selection activeCell="K24" sqref="K24"/>
    </sheetView>
  </sheetViews>
  <sheetFormatPr baseColWidth="10" defaultColWidth="8.88671875" defaultRowHeight="14.4" x14ac:dyDescent="0.3"/>
  <cols>
    <col min="2" max="2" width="10.77734375" customWidth="1"/>
    <col min="3" max="3" width="13.44140625" customWidth="1"/>
    <col min="4" max="4" width="24" bestFit="1" customWidth="1"/>
    <col min="5" max="5" width="14.44140625" bestFit="1" customWidth="1"/>
    <col min="6" max="6" width="24.109375" bestFit="1" customWidth="1"/>
    <col min="7" max="7" width="20.88671875" customWidth="1"/>
    <col min="8" max="8" width="12.6640625" bestFit="1" customWidth="1"/>
    <col min="9" max="9" width="9.109375" style="14"/>
  </cols>
  <sheetData>
    <row r="1" spans="1:13" ht="15" thickBot="1" x14ac:dyDescent="0.35"/>
    <row r="2" spans="1:13" ht="15" thickBot="1" x14ac:dyDescent="0.35">
      <c r="B2" s="40" t="s">
        <v>22</v>
      </c>
      <c r="C2" s="40" t="s">
        <v>23</v>
      </c>
      <c r="D2" s="40" t="s">
        <v>42</v>
      </c>
      <c r="E2" s="40" t="s">
        <v>43</v>
      </c>
      <c r="F2" s="40" t="s">
        <v>44</v>
      </c>
      <c r="G2" s="40" t="s">
        <v>45</v>
      </c>
      <c r="H2" s="40" t="s">
        <v>46</v>
      </c>
      <c r="I2" s="41" t="s">
        <v>47</v>
      </c>
      <c r="J2" s="40" t="s">
        <v>48</v>
      </c>
      <c r="L2" s="44" t="s">
        <v>49</v>
      </c>
      <c r="M2" s="40" t="s">
        <v>21</v>
      </c>
    </row>
    <row r="3" spans="1:13" ht="15" thickBot="1" x14ac:dyDescent="0.35">
      <c r="A3" s="40" t="s">
        <v>72</v>
      </c>
      <c r="B3" s="54" t="s">
        <v>50</v>
      </c>
      <c r="C3" s="55" t="s">
        <v>51</v>
      </c>
      <c r="D3" s="55">
        <v>6</v>
      </c>
      <c r="E3" s="55">
        <v>3.6</v>
      </c>
      <c r="F3" s="55">
        <v>2.7</v>
      </c>
      <c r="G3" s="55" t="s">
        <v>52</v>
      </c>
      <c r="H3" s="55">
        <v>300</v>
      </c>
      <c r="I3" s="56">
        <v>21.5</v>
      </c>
      <c r="J3" s="57" t="s">
        <v>52</v>
      </c>
      <c r="K3" s="58"/>
      <c r="L3" s="66">
        <v>8</v>
      </c>
      <c r="M3" s="65" t="s">
        <v>53</v>
      </c>
    </row>
    <row r="4" spans="1:13" ht="15" thickBot="1" x14ac:dyDescent="0.35">
      <c r="A4" s="40" t="s">
        <v>72</v>
      </c>
      <c r="B4" s="30" t="s">
        <v>50</v>
      </c>
      <c r="C4" s="28" t="s">
        <v>54</v>
      </c>
      <c r="D4" s="28">
        <v>6</v>
      </c>
      <c r="E4" s="28">
        <v>6.5</v>
      </c>
      <c r="F4" s="28">
        <v>3</v>
      </c>
      <c r="G4" s="28" t="s">
        <v>52</v>
      </c>
      <c r="H4" s="28">
        <v>100</v>
      </c>
      <c r="I4" s="50">
        <v>21.5</v>
      </c>
      <c r="J4" s="31" t="s">
        <v>52</v>
      </c>
      <c r="L4" s="63">
        <v>5</v>
      </c>
      <c r="M4" s="61" t="s">
        <v>55</v>
      </c>
    </row>
    <row r="5" spans="1:13" ht="15" thickBot="1" x14ac:dyDescent="0.35">
      <c r="A5" s="40" t="s">
        <v>72</v>
      </c>
      <c r="B5" s="30" t="s">
        <v>50</v>
      </c>
      <c r="C5" s="28" t="s">
        <v>56</v>
      </c>
      <c r="D5" s="28">
        <v>6</v>
      </c>
      <c r="E5" s="28">
        <v>10</v>
      </c>
      <c r="F5" s="28">
        <v>3.2</v>
      </c>
      <c r="G5" s="28" t="s">
        <v>52</v>
      </c>
      <c r="H5" s="28">
        <v>210</v>
      </c>
      <c r="I5" s="50">
        <v>21.5</v>
      </c>
      <c r="J5" s="31" t="s">
        <v>57</v>
      </c>
      <c r="L5" s="63">
        <v>0</v>
      </c>
      <c r="M5" s="61" t="s">
        <v>13</v>
      </c>
    </row>
    <row r="6" spans="1:13" ht="15" thickBot="1" x14ac:dyDescent="0.35">
      <c r="A6" s="40" t="s">
        <v>72</v>
      </c>
      <c r="B6" s="30" t="s">
        <v>50</v>
      </c>
      <c r="C6" s="28" t="s">
        <v>58</v>
      </c>
      <c r="D6" s="28">
        <v>12</v>
      </c>
      <c r="E6" s="28">
        <v>18</v>
      </c>
      <c r="F6" s="28">
        <v>5.5</v>
      </c>
      <c r="G6" s="28" t="s">
        <v>52</v>
      </c>
      <c r="H6" s="28">
        <v>251</v>
      </c>
      <c r="I6" s="50">
        <v>26.3</v>
      </c>
      <c r="J6" s="31" t="s">
        <v>57</v>
      </c>
      <c r="L6" s="63">
        <v>0</v>
      </c>
      <c r="M6" s="61" t="s">
        <v>59</v>
      </c>
    </row>
    <row r="7" spans="1:13" ht="15" thickBot="1" x14ac:dyDescent="0.35">
      <c r="A7" s="40" t="s">
        <v>72</v>
      </c>
      <c r="B7" s="30" t="s">
        <v>50</v>
      </c>
      <c r="C7" s="28" t="s">
        <v>60</v>
      </c>
      <c r="D7" s="28">
        <v>12</v>
      </c>
      <c r="E7" s="28">
        <v>45</v>
      </c>
      <c r="F7" s="28">
        <v>5.5</v>
      </c>
      <c r="G7" s="28" t="s">
        <v>52</v>
      </c>
      <c r="H7" s="28">
        <v>83</v>
      </c>
      <c r="I7" s="50">
        <v>26.3</v>
      </c>
      <c r="J7" s="31" t="s">
        <v>57</v>
      </c>
      <c r="L7" s="63">
        <v>0</v>
      </c>
      <c r="M7" s="61" t="s">
        <v>61</v>
      </c>
    </row>
    <row r="8" spans="1:13" ht="15" thickBot="1" x14ac:dyDescent="0.35">
      <c r="A8" s="40" t="s">
        <v>72</v>
      </c>
      <c r="B8" s="30" t="s">
        <v>50</v>
      </c>
      <c r="C8" s="28" t="s">
        <v>62</v>
      </c>
      <c r="D8" s="28">
        <v>6</v>
      </c>
      <c r="E8" s="28">
        <v>0.8</v>
      </c>
      <c r="F8" s="28">
        <v>2</v>
      </c>
      <c r="G8" s="28" t="s">
        <v>52</v>
      </c>
      <c r="H8" s="28">
        <v>160</v>
      </c>
      <c r="I8" s="50">
        <v>8.9</v>
      </c>
      <c r="J8" s="31" t="s">
        <v>52</v>
      </c>
      <c r="L8" s="63">
        <v>5</v>
      </c>
      <c r="M8" s="61" t="s">
        <v>63</v>
      </c>
    </row>
    <row r="9" spans="1:13" ht="15" thickBot="1" x14ac:dyDescent="0.35">
      <c r="A9" s="40" t="s">
        <v>72</v>
      </c>
      <c r="B9" s="30" t="s">
        <v>50</v>
      </c>
      <c r="C9" s="68">
        <v>4755</v>
      </c>
      <c r="D9" s="28">
        <v>12</v>
      </c>
      <c r="E9" s="28">
        <v>34</v>
      </c>
      <c r="F9" s="28">
        <v>5.5</v>
      </c>
      <c r="G9" s="28" t="s">
        <v>52</v>
      </c>
      <c r="H9" s="28">
        <v>100</v>
      </c>
      <c r="I9" s="50">
        <v>69.5</v>
      </c>
      <c r="J9" s="31" t="s">
        <v>57</v>
      </c>
      <c r="L9" s="63">
        <v>0</v>
      </c>
      <c r="M9" s="61" t="s">
        <v>64</v>
      </c>
    </row>
    <row r="10" spans="1:13" ht="15" thickBot="1" x14ac:dyDescent="0.35">
      <c r="A10" s="40" t="s">
        <v>72</v>
      </c>
      <c r="B10" s="30" t="s">
        <v>34</v>
      </c>
      <c r="C10" s="28" t="s">
        <v>65</v>
      </c>
      <c r="D10" s="28">
        <v>6</v>
      </c>
      <c r="E10" s="28">
        <v>9</v>
      </c>
      <c r="F10" s="28">
        <v>1</v>
      </c>
      <c r="G10" s="28" t="s">
        <v>52</v>
      </c>
      <c r="H10" s="28">
        <v>620</v>
      </c>
      <c r="I10" s="50">
        <v>9.99</v>
      </c>
      <c r="J10" s="31" t="s">
        <v>52</v>
      </c>
      <c r="L10" s="63">
        <v>10</v>
      </c>
      <c r="M10" s="61" t="s">
        <v>33</v>
      </c>
    </row>
    <row r="11" spans="1:13" ht="15" thickBot="1" x14ac:dyDescent="0.35">
      <c r="A11" s="40" t="s">
        <v>72</v>
      </c>
      <c r="B11" s="32" t="s">
        <v>34</v>
      </c>
      <c r="C11" s="33" t="s">
        <v>66</v>
      </c>
      <c r="D11" s="33">
        <v>6</v>
      </c>
      <c r="E11" s="33">
        <v>2.2000000000000002</v>
      </c>
      <c r="F11" s="33">
        <v>1</v>
      </c>
      <c r="G11" s="33" t="s">
        <v>52</v>
      </c>
      <c r="H11" s="33">
        <v>282</v>
      </c>
      <c r="I11" s="51">
        <v>6.29</v>
      </c>
      <c r="J11" s="35" t="s">
        <v>52</v>
      </c>
      <c r="L11" s="64">
        <v>8</v>
      </c>
      <c r="M11" s="62" t="s">
        <v>67</v>
      </c>
    </row>
    <row r="13" spans="1:13" ht="15" thickBot="1" x14ac:dyDescent="0.35"/>
    <row r="14" spans="1:13" ht="15" thickBot="1" x14ac:dyDescent="0.35">
      <c r="B14" s="44" t="s">
        <v>22</v>
      </c>
      <c r="C14" s="44" t="s">
        <v>23</v>
      </c>
      <c r="D14" s="44" t="s">
        <v>42</v>
      </c>
      <c r="E14" s="44" t="s">
        <v>74</v>
      </c>
      <c r="F14" s="44" t="s">
        <v>76</v>
      </c>
      <c r="G14" s="44" t="s">
        <v>77</v>
      </c>
      <c r="H14" s="67" t="s">
        <v>47</v>
      </c>
      <c r="I14"/>
      <c r="L14" s="44" t="s">
        <v>49</v>
      </c>
      <c r="M14" s="44" t="s">
        <v>21</v>
      </c>
    </row>
    <row r="15" spans="1:13" ht="15" thickBot="1" x14ac:dyDescent="0.35">
      <c r="A15" s="43" t="s">
        <v>11</v>
      </c>
      <c r="B15" s="73" t="s">
        <v>50</v>
      </c>
      <c r="C15" s="74" t="s">
        <v>73</v>
      </c>
      <c r="D15" s="74">
        <v>5</v>
      </c>
      <c r="E15" s="74">
        <f>-58</f>
        <v>-58</v>
      </c>
      <c r="F15" s="74">
        <v>2.2000000000000002</v>
      </c>
      <c r="G15" s="74">
        <v>4.3</v>
      </c>
      <c r="H15" s="75">
        <v>6.9</v>
      </c>
      <c r="I15"/>
      <c r="L15" s="74">
        <v>8</v>
      </c>
      <c r="M15" s="76" t="s">
        <v>12</v>
      </c>
    </row>
    <row r="16" spans="1:13" ht="15" thickBot="1" x14ac:dyDescent="0.35">
      <c r="A16" s="60" t="s">
        <v>11</v>
      </c>
      <c r="B16" s="45" t="s">
        <v>78</v>
      </c>
      <c r="C16" s="1" t="s">
        <v>81</v>
      </c>
      <c r="D16" s="1">
        <v>6</v>
      </c>
      <c r="E16" s="1">
        <v>-50</v>
      </c>
      <c r="F16" s="1">
        <v>3</v>
      </c>
      <c r="G16" s="1">
        <v>4.3</v>
      </c>
      <c r="H16" s="52">
        <v>5.19</v>
      </c>
      <c r="I16"/>
      <c r="L16" s="1">
        <v>5</v>
      </c>
      <c r="M16" s="46" t="s">
        <v>80</v>
      </c>
    </row>
    <row r="17" spans="1:13" ht="15" thickBot="1" x14ac:dyDescent="0.35">
      <c r="A17" s="72" t="s">
        <v>11</v>
      </c>
      <c r="B17" s="47" t="s">
        <v>78</v>
      </c>
      <c r="C17" s="48" t="s">
        <v>82</v>
      </c>
      <c r="D17" s="48">
        <v>6</v>
      </c>
      <c r="E17" s="48">
        <v>-60</v>
      </c>
      <c r="F17" s="48">
        <v>3</v>
      </c>
      <c r="G17" s="48">
        <v>4.3</v>
      </c>
      <c r="H17" s="53">
        <v>3.69</v>
      </c>
      <c r="I17"/>
      <c r="L17" s="48">
        <v>5</v>
      </c>
      <c r="M17" s="49" t="s">
        <v>79</v>
      </c>
    </row>
    <row r="18" spans="1:13" x14ac:dyDescent="0.3">
      <c r="A18" s="59"/>
      <c r="B18" s="59"/>
      <c r="C18" s="59"/>
      <c r="D18" s="69"/>
      <c r="E18" s="59"/>
      <c r="F18" s="59"/>
      <c r="G18" s="59"/>
      <c r="H18" s="70"/>
      <c r="I18" s="71"/>
      <c r="J18" s="59"/>
      <c r="K18" s="59"/>
      <c r="L18" s="59"/>
      <c r="M18" s="59"/>
    </row>
    <row r="19" spans="1:13" x14ac:dyDescent="0.3">
      <c r="A19" s="59"/>
      <c r="B19" s="59"/>
      <c r="C19" s="59"/>
      <c r="D19" s="59"/>
      <c r="E19" t="s">
        <v>75</v>
      </c>
      <c r="F19" s="59"/>
      <c r="G19" s="59"/>
      <c r="H19" s="70"/>
      <c r="I19" s="71"/>
      <c r="J19" s="59"/>
      <c r="K19" s="59"/>
      <c r="L19" s="59"/>
      <c r="M19" s="59"/>
    </row>
    <row r="20" spans="1:13" x14ac:dyDescent="0.3">
      <c r="A20" s="59"/>
      <c r="B20" s="59"/>
      <c r="C20" s="59"/>
      <c r="D20" s="59"/>
      <c r="E20" s="59"/>
      <c r="F20" s="59"/>
      <c r="G20" s="59"/>
      <c r="H20" s="70"/>
      <c r="I20" s="71"/>
      <c r="J20" s="59"/>
      <c r="K20" s="59"/>
      <c r="L20" s="59"/>
      <c r="M20" s="59"/>
    </row>
    <row r="21" spans="1:13" x14ac:dyDescent="0.3">
      <c r="A21" s="59"/>
      <c r="B21" s="59"/>
      <c r="C21" s="59"/>
      <c r="D21" s="59"/>
      <c r="E21" s="59"/>
      <c r="F21" s="59"/>
      <c r="G21" s="59"/>
      <c r="H21" s="70"/>
      <c r="I21" s="71"/>
      <c r="J21" s="59"/>
      <c r="K21" s="59"/>
      <c r="L21" s="59"/>
      <c r="M21" s="59"/>
    </row>
    <row r="22" spans="1:13" x14ac:dyDescent="0.3">
      <c r="A22" s="59"/>
      <c r="B22" s="59"/>
      <c r="C22" s="59"/>
      <c r="D22" s="59"/>
      <c r="E22" s="59"/>
      <c r="F22" s="59"/>
      <c r="G22" s="59"/>
      <c r="H22" s="70"/>
      <c r="I22" s="71"/>
      <c r="J22" s="59"/>
      <c r="K22" s="59"/>
      <c r="L22" s="59"/>
      <c r="M22" s="59"/>
    </row>
    <row r="23" spans="1:13" x14ac:dyDescent="0.3">
      <c r="A23" s="59"/>
      <c r="B23" s="59"/>
      <c r="C23" s="59"/>
      <c r="D23" s="59"/>
      <c r="E23" s="59"/>
      <c r="F23" s="59"/>
      <c r="G23" s="59"/>
      <c r="H23" s="70"/>
      <c r="I23" s="71"/>
      <c r="J23" s="59"/>
      <c r="K23" s="59"/>
      <c r="L23" s="59"/>
      <c r="M23" s="59"/>
    </row>
  </sheetData>
  <hyperlinks>
    <hyperlink ref="M3" r:id="rId1" xr:uid="{856C5B9C-923C-4540-8D75-260C364A3728}"/>
    <hyperlink ref="M4" r:id="rId2" xr:uid="{966A6970-28A4-4A21-B818-0E28254C4063}"/>
    <hyperlink ref="M5" r:id="rId3" xr:uid="{EA01EB49-3CA9-4B92-AAB1-04088FE33A57}"/>
    <hyperlink ref="M6" r:id="rId4" xr:uid="{930ED57C-270A-47DA-B605-DD5130CF134F}"/>
    <hyperlink ref="M7" r:id="rId5" xr:uid="{7896452D-AC1F-4CBB-A7DC-92C5E2A6150F}"/>
    <hyperlink ref="M8" r:id="rId6" xr:uid="{81DF8C9B-8C5D-4255-8445-BAA1AE6BDD33}"/>
    <hyperlink ref="M9" r:id="rId7" xr:uid="{E6BBF59F-DBC8-4046-86CB-49443B35CF9B}"/>
    <hyperlink ref="M10" r:id="rId8" display="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" xr:uid="{32D347F8-CBFA-4534-A3C5-D875FD89B188}"/>
    <hyperlink ref="M11" r:id="rId9" display="https://fr.aliexpress.com/item/1005009095909930.html?spm=a2g0o.productlist.main.13.395a7385lAZkPe&amp;algo_pvid=435ecf1f-7460-4324-a019-353c5a35ef82&amp;algo_exp_id=435ecf1f-7460-4324-a019-353c5a35ef82-12&amp;pdp_ext_f=%7B%22order%22%3A%2273%22%2C%22eval%22%3A%221%22%2C%22fromPage%22%3A%22search%22%7D&amp;pdp_npi=6%40dis%21EUR%216.86%216.29%21%21%2150.29%2146.08%21%400b8848bf17921449700828002e105b%2112000047894628827%21sea%21FR%210%21ABX%211%210%21n_tag%3A-29910%3Bd%3Ae75bf42%3Bm03_new_user%3A-29895&amp;curPageLogUid=pIGJIPpt6fA2&amp;utparam-url=scene%3Asearch%7Cquery_from%3A%7Cx_object_id%3A1005009095909930%7C_p_origin_prod%3A" xr:uid="{84701D29-9455-4A52-9578-201F9718F8E9}"/>
    <hyperlink ref="M16" r:id="rId10" display="https://fr.aliexpress.com/item/32890830349.html" xr:uid="{9F642F9F-30D7-4C5A-9960-17F7441342ED}"/>
    <hyperlink ref="M17" r:id="rId11" xr:uid="{D84B001A-2858-438C-A0F0-B9B555B02BC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CE9E-6ABE-4B5C-BDB2-0AF761B4C4D2}">
  <dimension ref="B2:M11"/>
  <sheetViews>
    <sheetView workbookViewId="0">
      <selection activeCell="H4" sqref="H4"/>
    </sheetView>
  </sheetViews>
  <sheetFormatPr baseColWidth="10" defaultColWidth="8.88671875" defaultRowHeight="14.4" x14ac:dyDescent="0.3"/>
  <cols>
    <col min="4" max="4" width="24" bestFit="1" customWidth="1"/>
    <col min="5" max="5" width="14.44140625" bestFit="1" customWidth="1"/>
    <col min="6" max="6" width="24.109375" bestFit="1" customWidth="1"/>
    <col min="7" max="7" width="12.44140625" bestFit="1" customWidth="1"/>
    <col min="8" max="8" width="12.6640625" bestFit="1" customWidth="1"/>
  </cols>
  <sheetData>
    <row r="2" spans="2:13" x14ac:dyDescent="0.3">
      <c r="B2" s="40" t="s">
        <v>22</v>
      </c>
      <c r="C2" s="40" t="s">
        <v>23</v>
      </c>
      <c r="D2" s="40" t="s">
        <v>42</v>
      </c>
      <c r="E2" s="40" t="s">
        <v>68</v>
      </c>
      <c r="F2" s="40" t="s">
        <v>44</v>
      </c>
      <c r="G2" s="40" t="s">
        <v>69</v>
      </c>
      <c r="H2" s="40" t="s">
        <v>70</v>
      </c>
      <c r="I2" s="41" t="s">
        <v>47</v>
      </c>
      <c r="J2" s="40" t="s">
        <v>48</v>
      </c>
      <c r="L2" s="40" t="s">
        <v>49</v>
      </c>
      <c r="M2" s="40" t="s">
        <v>21</v>
      </c>
    </row>
    <row r="3" spans="2:13" x14ac:dyDescent="0.3">
      <c r="B3" s="36" t="s">
        <v>50</v>
      </c>
      <c r="C3" s="37" t="s">
        <v>71</v>
      </c>
      <c r="D3" s="37">
        <v>5</v>
      </c>
      <c r="E3" s="37">
        <v>-58</v>
      </c>
      <c r="F3" s="37">
        <v>0.5</v>
      </c>
      <c r="G3" s="37">
        <v>2.2000000000000002</v>
      </c>
      <c r="H3" s="37">
        <v>4.3</v>
      </c>
      <c r="I3" s="38">
        <v>6.9</v>
      </c>
      <c r="J3" s="39" t="s">
        <v>52</v>
      </c>
      <c r="L3" s="39"/>
      <c r="M3" s="42" t="s">
        <v>12</v>
      </c>
    </row>
    <row r="4" spans="2:13" x14ac:dyDescent="0.3">
      <c r="B4" s="30"/>
      <c r="C4" s="28"/>
      <c r="D4" s="28"/>
      <c r="E4" s="28"/>
      <c r="F4" s="28"/>
      <c r="G4" s="28"/>
      <c r="H4" s="28"/>
      <c r="I4" s="29"/>
      <c r="J4" s="31"/>
      <c r="L4" s="31"/>
      <c r="M4" s="31"/>
    </row>
    <row r="5" spans="2:13" x14ac:dyDescent="0.3">
      <c r="B5" s="30"/>
      <c r="C5" s="28"/>
      <c r="D5" s="28"/>
      <c r="E5" s="28"/>
      <c r="F5" s="28"/>
      <c r="G5" s="28"/>
      <c r="H5" s="28"/>
      <c r="I5" s="29"/>
      <c r="J5" s="31"/>
      <c r="L5" s="31"/>
      <c r="M5" s="31"/>
    </row>
    <row r="6" spans="2:13" x14ac:dyDescent="0.3">
      <c r="B6" s="30"/>
      <c r="C6" s="28"/>
      <c r="D6" s="28"/>
      <c r="E6" s="28"/>
      <c r="F6" s="28"/>
      <c r="G6" s="28"/>
      <c r="H6" s="28"/>
      <c r="I6" s="29"/>
      <c r="J6" s="31"/>
      <c r="L6" s="31"/>
      <c r="M6" s="31"/>
    </row>
    <row r="7" spans="2:13" x14ac:dyDescent="0.3">
      <c r="B7" s="30"/>
      <c r="C7" s="28"/>
      <c r="D7" s="28"/>
      <c r="E7" s="28"/>
      <c r="F7" s="28"/>
      <c r="G7" s="28"/>
      <c r="H7" s="28"/>
      <c r="I7" s="29"/>
      <c r="J7" s="31"/>
      <c r="L7" s="31"/>
      <c r="M7" s="31"/>
    </row>
    <row r="8" spans="2:13" x14ac:dyDescent="0.3">
      <c r="B8" s="30"/>
      <c r="C8" s="28"/>
      <c r="D8" s="28"/>
      <c r="E8" s="28"/>
      <c r="F8" s="28"/>
      <c r="G8" s="28"/>
      <c r="H8" s="28"/>
      <c r="I8" s="29"/>
      <c r="J8" s="31"/>
      <c r="L8" s="31"/>
      <c r="M8" s="31"/>
    </row>
    <row r="9" spans="2:13" x14ac:dyDescent="0.3">
      <c r="B9" s="30"/>
      <c r="C9" s="28"/>
      <c r="D9" s="28"/>
      <c r="E9" s="28"/>
      <c r="F9" s="28"/>
      <c r="G9" s="28"/>
      <c r="H9" s="28"/>
      <c r="I9" s="29"/>
      <c r="J9" s="31"/>
      <c r="L9" s="31"/>
      <c r="M9" s="31"/>
    </row>
    <row r="10" spans="2:13" x14ac:dyDescent="0.3">
      <c r="B10" s="30"/>
      <c r="C10" s="28"/>
      <c r="D10" s="28"/>
      <c r="E10" s="28"/>
      <c r="F10" s="28"/>
      <c r="G10" s="28"/>
      <c r="H10" s="28"/>
      <c r="I10" s="29"/>
      <c r="J10" s="31"/>
      <c r="L10" s="31"/>
      <c r="M10" s="31"/>
    </row>
    <row r="11" spans="2:13" x14ac:dyDescent="0.3">
      <c r="B11" s="32"/>
      <c r="C11" s="33"/>
      <c r="D11" s="33"/>
      <c r="E11" s="33"/>
      <c r="F11" s="33"/>
      <c r="G11" s="33"/>
      <c r="H11" s="33"/>
      <c r="I11" s="34"/>
      <c r="J11" s="35"/>
      <c r="L11" s="35"/>
      <c r="M11" s="35"/>
    </row>
  </sheetData>
  <hyperlinks>
    <hyperlink ref="M3" r:id="rId1" xr:uid="{BBA353C2-9DB2-4922-AE9F-449531E8DBB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1E22-DE99-4BB0-96B9-4C0CBBCB3B3F}">
  <dimension ref="A1"/>
  <sheetViews>
    <sheetView topLeftCell="K1"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ca6a5b-3fa2-4330-b2d3-ceb5dc3ac37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34F44BA1E0F24F9930540811A2EDB6" ma:contentTypeVersion="5" ma:contentTypeDescription="Create a new document." ma:contentTypeScope="" ma:versionID="63da83260db1d72dc3600b2d6132f719">
  <xsd:schema xmlns:xsd="http://www.w3.org/2001/XMLSchema" xmlns:xs="http://www.w3.org/2001/XMLSchema" xmlns:p="http://schemas.microsoft.com/office/2006/metadata/properties" xmlns:ns3="87ca6a5b-3fa2-4330-b2d3-ceb5dc3ac37b" targetNamespace="http://schemas.microsoft.com/office/2006/metadata/properties" ma:root="true" ma:fieldsID="2a37fc6c6d9ad226a4d0af2afcddd6e5" ns3:_="">
    <xsd:import namespace="87ca6a5b-3fa2-4330-b2d3-ceb5dc3ac37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ca6a5b-3fa2-4330-b2d3-ceb5dc3ac37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9B7E90-EAE5-48E9-9092-492A01032B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DEBE5B-8EDA-4F49-8F8E-C6674C0EDC90}">
  <ds:schemaRefs>
    <ds:schemaRef ds:uri="http://schemas.microsoft.com/office/2006/metadata/properties"/>
    <ds:schemaRef ds:uri="http://schemas.microsoft.com/office/infopath/2007/PartnerControls"/>
    <ds:schemaRef ds:uri="87ca6a5b-3fa2-4330-b2d3-ceb5dc3ac37b"/>
  </ds:schemaRefs>
</ds:datastoreItem>
</file>

<file path=customXml/itemProps3.xml><?xml version="1.0" encoding="utf-8"?>
<ds:datastoreItem xmlns:ds="http://schemas.openxmlformats.org/officeDocument/2006/customXml" ds:itemID="{2630977E-B0CF-45C9-B99D-25EACCA74D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ca6a5b-3fa2-4330-b2d3-ceb5dc3ac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Général</vt:lpstr>
      <vt:lpstr>Polytech</vt:lpstr>
      <vt:lpstr>Robotek</vt:lpstr>
      <vt:lpstr>Moteur</vt:lpstr>
      <vt:lpstr>Pompe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Thibaut Martin</dc:creator>
  <cp:keywords/>
  <dc:description/>
  <cp:lastModifiedBy>Thibaut Martin</cp:lastModifiedBy>
  <cp:revision/>
  <dcterms:created xsi:type="dcterms:W3CDTF">2026-10-08T10:57:01Z</dcterms:created>
  <dcterms:modified xsi:type="dcterms:W3CDTF">2026-10-21T08:37:49Z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0x0101007934F44BA1E0F24F9930540811A2EDB6</vt:lpwstr>
  </property>
</Properties>
</file>